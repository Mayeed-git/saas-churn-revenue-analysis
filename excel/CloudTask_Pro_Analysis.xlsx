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ee\Downloads\"/>
    </mc:Choice>
  </mc:AlternateContent>
  <xr:revisionPtr revIDLastSave="0" documentId="13_ncr:1_{7B4CED87-71D3-4F00-9DD4-AF2325258C80}" xr6:coauthVersionLast="47" xr6:coauthVersionMax="47" xr10:uidLastSave="{00000000-0000-0000-0000-000000000000}"/>
  <bookViews>
    <workbookView xWindow="-98" yWindow="-98" windowWidth="21795" windowHeight="12975" firstSheet="1" activeTab="2" xr2:uid="{A1D7B024-4E85-4E1C-AA15-66B77E01D82F}"/>
  </bookViews>
  <sheets>
    <sheet name="Subscription_Data" sheetId="2" r:id="rId1"/>
    <sheet name="Monthly_Revenue" sheetId="3" r:id="rId2"/>
    <sheet name="Pivot_Analysis" sheetId="1" r:id="rId3"/>
    <sheet name="Executive_Summary" sheetId="4" r:id="rId4"/>
  </sheets>
  <definedNames>
    <definedName name="ExternalData_1" localSheetId="1" hidden="1">Monthly_Revenue!$A$1:$H$49</definedName>
    <definedName name="ExternalData_1" localSheetId="0" hidden="1">Subscription_Data!$A$1:$Q$601</definedName>
    <definedName name="_xlnm.Print_Area" localSheetId="3">Executive_Summary!$A$1:$N$50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4" l="1"/>
  <c r="J5" i="4"/>
  <c r="G5" i="4"/>
  <c r="D5" i="4" a="1"/>
  <c r="D5" i="4" s="1"/>
  <c r="A5" i="4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V18" i="2"/>
  <c r="V19" i="2"/>
  <c r="V21" i="2"/>
  <c r="V22" i="2"/>
  <c r="V23" i="2"/>
  <c r="V40" i="2"/>
  <c r="V41" i="2"/>
  <c r="V43" i="2"/>
  <c r="V44" i="2"/>
  <c r="V45" i="2"/>
  <c r="V62" i="2"/>
  <c r="V63" i="2"/>
  <c r="V65" i="2"/>
  <c r="V66" i="2"/>
  <c r="V67" i="2"/>
  <c r="V84" i="2"/>
  <c r="V85" i="2"/>
  <c r="V87" i="2"/>
  <c r="V88" i="2"/>
  <c r="V89" i="2"/>
  <c r="V106" i="2"/>
  <c r="V107" i="2"/>
  <c r="V109" i="2"/>
  <c r="V110" i="2"/>
  <c r="V111" i="2"/>
  <c r="V128" i="2"/>
  <c r="V129" i="2"/>
  <c r="V131" i="2"/>
  <c r="V132" i="2"/>
  <c r="V133" i="2"/>
  <c r="V150" i="2"/>
  <c r="V151" i="2"/>
  <c r="V153" i="2"/>
  <c r="V154" i="2"/>
  <c r="V155" i="2"/>
  <c r="V172" i="2"/>
  <c r="V173" i="2"/>
  <c r="V175" i="2"/>
  <c r="V176" i="2"/>
  <c r="V177" i="2"/>
  <c r="V194" i="2"/>
  <c r="V195" i="2"/>
  <c r="V197" i="2"/>
  <c r="V198" i="2"/>
  <c r="V199" i="2"/>
  <c r="V216" i="2"/>
  <c r="V217" i="2"/>
  <c r="V219" i="2"/>
  <c r="V220" i="2"/>
  <c r="V221" i="2"/>
  <c r="V238" i="2"/>
  <c r="V239" i="2"/>
  <c r="V241" i="2"/>
  <c r="V242" i="2"/>
  <c r="V243" i="2"/>
  <c r="V260" i="2"/>
  <c r="V261" i="2"/>
  <c r="V263" i="2"/>
  <c r="V264" i="2"/>
  <c r="V265" i="2"/>
  <c r="V282" i="2"/>
  <c r="V283" i="2"/>
  <c r="V285" i="2"/>
  <c r="V286" i="2"/>
  <c r="V287" i="2"/>
  <c r="V304" i="2"/>
  <c r="V305" i="2"/>
  <c r="V307" i="2"/>
  <c r="V308" i="2"/>
  <c r="V309" i="2"/>
  <c r="V326" i="2"/>
  <c r="V327" i="2"/>
  <c r="V329" i="2"/>
  <c r="V330" i="2"/>
  <c r="V331" i="2"/>
  <c r="V348" i="2"/>
  <c r="V349" i="2"/>
  <c r="V351" i="2"/>
  <c r="V352" i="2"/>
  <c r="V353" i="2"/>
  <c r="V370" i="2"/>
  <c r="V371" i="2"/>
  <c r="V373" i="2"/>
  <c r="V374" i="2"/>
  <c r="V375" i="2"/>
  <c r="V392" i="2"/>
  <c r="V393" i="2"/>
  <c r="V395" i="2"/>
  <c r="V396" i="2"/>
  <c r="V397" i="2"/>
  <c r="V414" i="2"/>
  <c r="V415" i="2"/>
  <c r="V417" i="2"/>
  <c r="V418" i="2"/>
  <c r="V419" i="2"/>
  <c r="V436" i="2"/>
  <c r="V437" i="2"/>
  <c r="V439" i="2"/>
  <c r="V440" i="2"/>
  <c r="V441" i="2"/>
  <c r="V458" i="2"/>
  <c r="V459" i="2"/>
  <c r="V461" i="2"/>
  <c r="V462" i="2"/>
  <c r="V463" i="2"/>
  <c r="V480" i="2"/>
  <c r="V481" i="2"/>
  <c r="V483" i="2"/>
  <c r="V484" i="2"/>
  <c r="V485" i="2"/>
  <c r="V502" i="2"/>
  <c r="V503" i="2"/>
  <c r="V505" i="2"/>
  <c r="V506" i="2"/>
  <c r="V507" i="2"/>
  <c r="V524" i="2"/>
  <c r="V525" i="2"/>
  <c r="V527" i="2"/>
  <c r="V528" i="2"/>
  <c r="V529" i="2"/>
  <c r="V546" i="2"/>
  <c r="V547" i="2"/>
  <c r="V549" i="2"/>
  <c r="V550" i="2"/>
  <c r="V551" i="2"/>
  <c r="V568" i="2"/>
  <c r="V569" i="2"/>
  <c r="V571" i="2"/>
  <c r="V572" i="2"/>
  <c r="V573" i="2"/>
  <c r="V590" i="2"/>
  <c r="V591" i="2"/>
  <c r="V593" i="2"/>
  <c r="V594" i="2"/>
  <c r="V595" i="2"/>
  <c r="U2" i="2"/>
  <c r="U3" i="2"/>
  <c r="U4" i="2"/>
  <c r="U5" i="2"/>
  <c r="U6" i="2"/>
  <c r="U7" i="2"/>
  <c r="U8" i="2"/>
  <c r="U9" i="2"/>
  <c r="U10" i="2"/>
  <c r="U11" i="2"/>
  <c r="U12" i="2"/>
  <c r="V12" i="2" s="1"/>
  <c r="U13" i="2"/>
  <c r="U14" i="2"/>
  <c r="U15" i="2"/>
  <c r="V15" i="2" s="1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V34" i="2" s="1"/>
  <c r="U35" i="2"/>
  <c r="U36" i="2"/>
  <c r="U37" i="2"/>
  <c r="V37" i="2" s="1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V56" i="2" s="1"/>
  <c r="U57" i="2"/>
  <c r="U58" i="2"/>
  <c r="U59" i="2"/>
  <c r="V59" i="2" s="1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V78" i="2" s="1"/>
  <c r="U79" i="2"/>
  <c r="U80" i="2"/>
  <c r="U81" i="2"/>
  <c r="V81" i="2" s="1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V100" i="2" s="1"/>
  <c r="U101" i="2"/>
  <c r="U102" i="2"/>
  <c r="U103" i="2"/>
  <c r="V103" i="2" s="1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V122" i="2" s="1"/>
  <c r="U123" i="2"/>
  <c r="U124" i="2"/>
  <c r="U125" i="2"/>
  <c r="V125" i="2" s="1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V144" i="2" s="1"/>
  <c r="U145" i="2"/>
  <c r="U146" i="2"/>
  <c r="U147" i="2"/>
  <c r="V147" i="2" s="1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V166" i="2" s="1"/>
  <c r="U167" i="2"/>
  <c r="U168" i="2"/>
  <c r="U169" i="2"/>
  <c r="V169" i="2" s="1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V188" i="2" s="1"/>
  <c r="U189" i="2"/>
  <c r="U190" i="2"/>
  <c r="U191" i="2"/>
  <c r="V191" i="2" s="1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V210" i="2" s="1"/>
  <c r="U211" i="2"/>
  <c r="U212" i="2"/>
  <c r="U213" i="2"/>
  <c r="V213" i="2" s="1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V232" i="2" s="1"/>
  <c r="U233" i="2"/>
  <c r="U234" i="2"/>
  <c r="U235" i="2"/>
  <c r="V235" i="2" s="1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V254" i="2" s="1"/>
  <c r="U255" i="2"/>
  <c r="U256" i="2"/>
  <c r="U257" i="2"/>
  <c r="V257" i="2" s="1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V276" i="2" s="1"/>
  <c r="U277" i="2"/>
  <c r="U278" i="2"/>
  <c r="U279" i="2"/>
  <c r="V279" i="2" s="1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V298" i="2" s="1"/>
  <c r="U299" i="2"/>
  <c r="U300" i="2"/>
  <c r="U301" i="2"/>
  <c r="V301" i="2" s="1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V320" i="2" s="1"/>
  <c r="U321" i="2"/>
  <c r="U322" i="2"/>
  <c r="U323" i="2"/>
  <c r="V323" i="2" s="1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V342" i="2" s="1"/>
  <c r="U343" i="2"/>
  <c r="U344" i="2"/>
  <c r="U345" i="2"/>
  <c r="V345" i="2" s="1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V364" i="2" s="1"/>
  <c r="U365" i="2"/>
  <c r="U366" i="2"/>
  <c r="U367" i="2"/>
  <c r="V367" i="2" s="1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V386" i="2" s="1"/>
  <c r="U387" i="2"/>
  <c r="U388" i="2"/>
  <c r="U389" i="2"/>
  <c r="V389" i="2" s="1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V408" i="2" s="1"/>
  <c r="U409" i="2"/>
  <c r="U410" i="2"/>
  <c r="U411" i="2"/>
  <c r="V411" i="2" s="1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V430" i="2" s="1"/>
  <c r="U431" i="2"/>
  <c r="U432" i="2"/>
  <c r="U433" i="2"/>
  <c r="V433" i="2" s="1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V452" i="2" s="1"/>
  <c r="U453" i="2"/>
  <c r="U454" i="2"/>
  <c r="U455" i="2"/>
  <c r="V455" i="2" s="1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V474" i="2" s="1"/>
  <c r="U475" i="2"/>
  <c r="U476" i="2"/>
  <c r="U477" i="2"/>
  <c r="V477" i="2" s="1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V496" i="2" s="1"/>
  <c r="U497" i="2"/>
  <c r="U498" i="2"/>
  <c r="U499" i="2"/>
  <c r="V499" i="2" s="1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V518" i="2" s="1"/>
  <c r="U519" i="2"/>
  <c r="U520" i="2"/>
  <c r="U521" i="2"/>
  <c r="V521" i="2" s="1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V540" i="2" s="1"/>
  <c r="U541" i="2"/>
  <c r="U542" i="2"/>
  <c r="U543" i="2"/>
  <c r="V543" i="2" s="1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V562" i="2" s="1"/>
  <c r="U563" i="2"/>
  <c r="U564" i="2"/>
  <c r="U565" i="2"/>
  <c r="V565" i="2" s="1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V584" i="2" s="1"/>
  <c r="U585" i="2"/>
  <c r="U586" i="2"/>
  <c r="U587" i="2"/>
  <c r="V587" i="2" s="1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T2" i="2"/>
  <c r="T3" i="2"/>
  <c r="T4" i="2"/>
  <c r="T5" i="2"/>
  <c r="T6" i="2"/>
  <c r="V6" i="2" s="1"/>
  <c r="T7" i="2"/>
  <c r="V7" i="2" s="1"/>
  <c r="T8" i="2"/>
  <c r="V8" i="2" s="1"/>
  <c r="T9" i="2"/>
  <c r="V9" i="2" s="1"/>
  <c r="T10" i="2"/>
  <c r="V10" i="2" s="1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V28" i="2" s="1"/>
  <c r="T29" i="2"/>
  <c r="V29" i="2" s="1"/>
  <c r="T30" i="2"/>
  <c r="V30" i="2" s="1"/>
  <c r="T31" i="2"/>
  <c r="V31" i="2" s="1"/>
  <c r="T32" i="2"/>
  <c r="V32" i="2" s="1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V50" i="2" s="1"/>
  <c r="T51" i="2"/>
  <c r="V51" i="2" s="1"/>
  <c r="T52" i="2"/>
  <c r="V52" i="2" s="1"/>
  <c r="T53" i="2"/>
  <c r="V53" i="2" s="1"/>
  <c r="T54" i="2"/>
  <c r="V54" i="2" s="1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V72" i="2" s="1"/>
  <c r="T73" i="2"/>
  <c r="V73" i="2" s="1"/>
  <c r="T74" i="2"/>
  <c r="V74" i="2" s="1"/>
  <c r="T75" i="2"/>
  <c r="V75" i="2" s="1"/>
  <c r="T76" i="2"/>
  <c r="V76" i="2" s="1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V94" i="2" s="1"/>
  <c r="T95" i="2"/>
  <c r="V95" i="2" s="1"/>
  <c r="T96" i="2"/>
  <c r="V96" i="2" s="1"/>
  <c r="T97" i="2"/>
  <c r="V97" i="2" s="1"/>
  <c r="T98" i="2"/>
  <c r="V98" i="2" s="1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V116" i="2" s="1"/>
  <c r="T117" i="2"/>
  <c r="V117" i="2" s="1"/>
  <c r="T118" i="2"/>
  <c r="V118" i="2" s="1"/>
  <c r="T119" i="2"/>
  <c r="V119" i="2" s="1"/>
  <c r="T120" i="2"/>
  <c r="V120" i="2" s="1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V138" i="2" s="1"/>
  <c r="T139" i="2"/>
  <c r="V139" i="2" s="1"/>
  <c r="T140" i="2"/>
  <c r="V140" i="2" s="1"/>
  <c r="T141" i="2"/>
  <c r="V141" i="2" s="1"/>
  <c r="T142" i="2"/>
  <c r="V142" i="2" s="1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V160" i="2" s="1"/>
  <c r="T161" i="2"/>
  <c r="V161" i="2" s="1"/>
  <c r="T162" i="2"/>
  <c r="V162" i="2" s="1"/>
  <c r="T163" i="2"/>
  <c r="V163" i="2" s="1"/>
  <c r="T164" i="2"/>
  <c r="V164" i="2" s="1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V182" i="2" s="1"/>
  <c r="T183" i="2"/>
  <c r="V183" i="2" s="1"/>
  <c r="T184" i="2"/>
  <c r="V184" i="2" s="1"/>
  <c r="T185" i="2"/>
  <c r="V185" i="2" s="1"/>
  <c r="T186" i="2"/>
  <c r="V186" i="2" s="1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V204" i="2" s="1"/>
  <c r="T205" i="2"/>
  <c r="V205" i="2" s="1"/>
  <c r="T206" i="2"/>
  <c r="V206" i="2" s="1"/>
  <c r="T207" i="2"/>
  <c r="V207" i="2" s="1"/>
  <c r="T208" i="2"/>
  <c r="V208" i="2" s="1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V226" i="2" s="1"/>
  <c r="T227" i="2"/>
  <c r="V227" i="2" s="1"/>
  <c r="T228" i="2"/>
  <c r="V228" i="2" s="1"/>
  <c r="T229" i="2"/>
  <c r="V229" i="2" s="1"/>
  <c r="T230" i="2"/>
  <c r="V230" i="2" s="1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V248" i="2" s="1"/>
  <c r="T249" i="2"/>
  <c r="V249" i="2" s="1"/>
  <c r="T250" i="2"/>
  <c r="V250" i="2" s="1"/>
  <c r="T251" i="2"/>
  <c r="V251" i="2" s="1"/>
  <c r="T252" i="2"/>
  <c r="V252" i="2" s="1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V270" i="2" s="1"/>
  <c r="T271" i="2"/>
  <c r="V271" i="2" s="1"/>
  <c r="T272" i="2"/>
  <c r="V272" i="2" s="1"/>
  <c r="T273" i="2"/>
  <c r="V273" i="2" s="1"/>
  <c r="T274" i="2"/>
  <c r="V274" i="2" s="1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V292" i="2" s="1"/>
  <c r="T293" i="2"/>
  <c r="V293" i="2" s="1"/>
  <c r="T294" i="2"/>
  <c r="V294" i="2" s="1"/>
  <c r="T295" i="2"/>
  <c r="V295" i="2" s="1"/>
  <c r="T296" i="2"/>
  <c r="V296" i="2" s="1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V314" i="2" s="1"/>
  <c r="T315" i="2"/>
  <c r="V315" i="2" s="1"/>
  <c r="T316" i="2"/>
  <c r="V316" i="2" s="1"/>
  <c r="T317" i="2"/>
  <c r="V317" i="2" s="1"/>
  <c r="T318" i="2"/>
  <c r="V318" i="2" s="1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V336" i="2" s="1"/>
  <c r="T337" i="2"/>
  <c r="V337" i="2" s="1"/>
  <c r="T338" i="2"/>
  <c r="V338" i="2" s="1"/>
  <c r="T339" i="2"/>
  <c r="V339" i="2" s="1"/>
  <c r="T340" i="2"/>
  <c r="V340" i="2" s="1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V358" i="2" s="1"/>
  <c r="T359" i="2"/>
  <c r="V359" i="2" s="1"/>
  <c r="T360" i="2"/>
  <c r="V360" i="2" s="1"/>
  <c r="T361" i="2"/>
  <c r="V361" i="2" s="1"/>
  <c r="T362" i="2"/>
  <c r="V362" i="2" s="1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V380" i="2" s="1"/>
  <c r="T381" i="2"/>
  <c r="V381" i="2" s="1"/>
  <c r="T382" i="2"/>
  <c r="V382" i="2" s="1"/>
  <c r="T383" i="2"/>
  <c r="V383" i="2" s="1"/>
  <c r="T384" i="2"/>
  <c r="V384" i="2" s="1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V402" i="2" s="1"/>
  <c r="T403" i="2"/>
  <c r="V403" i="2" s="1"/>
  <c r="T404" i="2"/>
  <c r="V404" i="2" s="1"/>
  <c r="T405" i="2"/>
  <c r="V405" i="2" s="1"/>
  <c r="T406" i="2"/>
  <c r="V406" i="2" s="1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V424" i="2" s="1"/>
  <c r="T425" i="2"/>
  <c r="V425" i="2" s="1"/>
  <c r="T426" i="2"/>
  <c r="V426" i="2" s="1"/>
  <c r="T427" i="2"/>
  <c r="V427" i="2" s="1"/>
  <c r="T428" i="2"/>
  <c r="V428" i="2" s="1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V446" i="2" s="1"/>
  <c r="T447" i="2"/>
  <c r="V447" i="2" s="1"/>
  <c r="T448" i="2"/>
  <c r="V448" i="2" s="1"/>
  <c r="T449" i="2"/>
  <c r="V449" i="2" s="1"/>
  <c r="T450" i="2"/>
  <c r="V450" i="2" s="1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V468" i="2" s="1"/>
  <c r="T469" i="2"/>
  <c r="V469" i="2" s="1"/>
  <c r="T470" i="2"/>
  <c r="V470" i="2" s="1"/>
  <c r="T471" i="2"/>
  <c r="V471" i="2" s="1"/>
  <c r="T472" i="2"/>
  <c r="V472" i="2" s="1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V490" i="2" s="1"/>
  <c r="T491" i="2"/>
  <c r="V491" i="2" s="1"/>
  <c r="T492" i="2"/>
  <c r="V492" i="2" s="1"/>
  <c r="T493" i="2"/>
  <c r="V493" i="2" s="1"/>
  <c r="T494" i="2"/>
  <c r="V494" i="2" s="1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V512" i="2" s="1"/>
  <c r="T513" i="2"/>
  <c r="V513" i="2" s="1"/>
  <c r="T514" i="2"/>
  <c r="V514" i="2" s="1"/>
  <c r="T515" i="2"/>
  <c r="V515" i="2" s="1"/>
  <c r="T516" i="2"/>
  <c r="V516" i="2" s="1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V534" i="2" s="1"/>
  <c r="T535" i="2"/>
  <c r="V535" i="2" s="1"/>
  <c r="T536" i="2"/>
  <c r="V536" i="2" s="1"/>
  <c r="T537" i="2"/>
  <c r="V537" i="2" s="1"/>
  <c r="T538" i="2"/>
  <c r="V538" i="2" s="1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V556" i="2" s="1"/>
  <c r="T557" i="2"/>
  <c r="V557" i="2" s="1"/>
  <c r="T558" i="2"/>
  <c r="V558" i="2" s="1"/>
  <c r="T559" i="2"/>
  <c r="V559" i="2" s="1"/>
  <c r="T560" i="2"/>
  <c r="V560" i="2" s="1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V578" i="2" s="1"/>
  <c r="T579" i="2"/>
  <c r="V579" i="2" s="1"/>
  <c r="T580" i="2"/>
  <c r="V580" i="2" s="1"/>
  <c r="T581" i="2"/>
  <c r="V581" i="2" s="1"/>
  <c r="T582" i="2"/>
  <c r="V582" i="2" s="1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V600" i="2" s="1"/>
  <c r="T601" i="2"/>
  <c r="V601" i="2" s="1"/>
  <c r="S2" i="2"/>
  <c r="V2" i="2" s="1"/>
  <c r="S3" i="2"/>
  <c r="V3" i="2" s="1"/>
  <c r="S4" i="2"/>
  <c r="V4" i="2" s="1"/>
  <c r="S5" i="2"/>
  <c r="V5" i="2" s="1"/>
  <c r="S6" i="2"/>
  <c r="S7" i="2"/>
  <c r="S8" i="2"/>
  <c r="S9" i="2"/>
  <c r="S10" i="2"/>
  <c r="S11" i="2"/>
  <c r="V11" i="2" s="1"/>
  <c r="S12" i="2"/>
  <c r="S13" i="2"/>
  <c r="V13" i="2" s="1"/>
  <c r="S14" i="2"/>
  <c r="V14" i="2" s="1"/>
  <c r="S15" i="2"/>
  <c r="S16" i="2"/>
  <c r="V16" i="2" s="1"/>
  <c r="S17" i="2"/>
  <c r="V17" i="2" s="1"/>
  <c r="S18" i="2"/>
  <c r="S19" i="2"/>
  <c r="S20" i="2"/>
  <c r="V20" i="2" s="1"/>
  <c r="S21" i="2"/>
  <c r="S22" i="2"/>
  <c r="S23" i="2"/>
  <c r="S24" i="2"/>
  <c r="V24" i="2" s="1"/>
  <c r="S25" i="2"/>
  <c r="V25" i="2" s="1"/>
  <c r="S26" i="2"/>
  <c r="V26" i="2" s="1"/>
  <c r="S27" i="2"/>
  <c r="V27" i="2" s="1"/>
  <c r="S28" i="2"/>
  <c r="S29" i="2"/>
  <c r="S30" i="2"/>
  <c r="S31" i="2"/>
  <c r="S32" i="2"/>
  <c r="S33" i="2"/>
  <c r="V33" i="2" s="1"/>
  <c r="S34" i="2"/>
  <c r="S35" i="2"/>
  <c r="V35" i="2" s="1"/>
  <c r="S36" i="2"/>
  <c r="V36" i="2" s="1"/>
  <c r="S37" i="2"/>
  <c r="S38" i="2"/>
  <c r="V38" i="2" s="1"/>
  <c r="S39" i="2"/>
  <c r="V39" i="2" s="1"/>
  <c r="S40" i="2"/>
  <c r="S41" i="2"/>
  <c r="S42" i="2"/>
  <c r="V42" i="2" s="1"/>
  <c r="S43" i="2"/>
  <c r="S44" i="2"/>
  <c r="S45" i="2"/>
  <c r="S46" i="2"/>
  <c r="V46" i="2" s="1"/>
  <c r="S47" i="2"/>
  <c r="V47" i="2" s="1"/>
  <c r="S48" i="2"/>
  <c r="V48" i="2" s="1"/>
  <c r="S49" i="2"/>
  <c r="V49" i="2" s="1"/>
  <c r="S50" i="2"/>
  <c r="S51" i="2"/>
  <c r="S52" i="2"/>
  <c r="S53" i="2"/>
  <c r="S54" i="2"/>
  <c r="S55" i="2"/>
  <c r="V55" i="2" s="1"/>
  <c r="S56" i="2"/>
  <c r="S57" i="2"/>
  <c r="V57" i="2" s="1"/>
  <c r="S58" i="2"/>
  <c r="V58" i="2" s="1"/>
  <c r="S59" i="2"/>
  <c r="S60" i="2"/>
  <c r="V60" i="2" s="1"/>
  <c r="S61" i="2"/>
  <c r="V61" i="2" s="1"/>
  <c r="S62" i="2"/>
  <c r="S63" i="2"/>
  <c r="S64" i="2"/>
  <c r="V64" i="2" s="1"/>
  <c r="S65" i="2"/>
  <c r="S66" i="2"/>
  <c r="S67" i="2"/>
  <c r="S68" i="2"/>
  <c r="V68" i="2" s="1"/>
  <c r="S69" i="2"/>
  <c r="V69" i="2" s="1"/>
  <c r="S70" i="2"/>
  <c r="V70" i="2" s="1"/>
  <c r="S71" i="2"/>
  <c r="V71" i="2" s="1"/>
  <c r="S72" i="2"/>
  <c r="S73" i="2"/>
  <c r="S74" i="2"/>
  <c r="S75" i="2"/>
  <c r="S76" i="2"/>
  <c r="S77" i="2"/>
  <c r="V77" i="2" s="1"/>
  <c r="S78" i="2"/>
  <c r="S79" i="2"/>
  <c r="V79" i="2" s="1"/>
  <c r="S80" i="2"/>
  <c r="V80" i="2" s="1"/>
  <c r="S81" i="2"/>
  <c r="S82" i="2"/>
  <c r="V82" i="2" s="1"/>
  <c r="S83" i="2"/>
  <c r="V83" i="2" s="1"/>
  <c r="S84" i="2"/>
  <c r="S85" i="2"/>
  <c r="S86" i="2"/>
  <c r="V86" i="2" s="1"/>
  <c r="S87" i="2"/>
  <c r="S88" i="2"/>
  <c r="S89" i="2"/>
  <c r="S90" i="2"/>
  <c r="V90" i="2" s="1"/>
  <c r="S91" i="2"/>
  <c r="V91" i="2" s="1"/>
  <c r="S92" i="2"/>
  <c r="V92" i="2" s="1"/>
  <c r="S93" i="2"/>
  <c r="V93" i="2" s="1"/>
  <c r="S94" i="2"/>
  <c r="S95" i="2"/>
  <c r="S96" i="2"/>
  <c r="S97" i="2"/>
  <c r="S98" i="2"/>
  <c r="S99" i="2"/>
  <c r="V99" i="2" s="1"/>
  <c r="S100" i="2"/>
  <c r="S101" i="2"/>
  <c r="V101" i="2" s="1"/>
  <c r="S102" i="2"/>
  <c r="V102" i="2" s="1"/>
  <c r="S103" i="2"/>
  <c r="S104" i="2"/>
  <c r="V104" i="2" s="1"/>
  <c r="S105" i="2"/>
  <c r="V105" i="2" s="1"/>
  <c r="S106" i="2"/>
  <c r="S107" i="2"/>
  <c r="S108" i="2"/>
  <c r="V108" i="2" s="1"/>
  <c r="S109" i="2"/>
  <c r="S110" i="2"/>
  <c r="S111" i="2"/>
  <c r="S112" i="2"/>
  <c r="V112" i="2" s="1"/>
  <c r="S113" i="2"/>
  <c r="V113" i="2" s="1"/>
  <c r="S114" i="2"/>
  <c r="V114" i="2" s="1"/>
  <c r="S115" i="2"/>
  <c r="V115" i="2" s="1"/>
  <c r="S116" i="2"/>
  <c r="S117" i="2"/>
  <c r="S118" i="2"/>
  <c r="S119" i="2"/>
  <c r="S120" i="2"/>
  <c r="S121" i="2"/>
  <c r="V121" i="2" s="1"/>
  <c r="S122" i="2"/>
  <c r="S123" i="2"/>
  <c r="V123" i="2" s="1"/>
  <c r="S124" i="2"/>
  <c r="V124" i="2" s="1"/>
  <c r="S125" i="2"/>
  <c r="S126" i="2"/>
  <c r="V126" i="2" s="1"/>
  <c r="S127" i="2"/>
  <c r="V127" i="2" s="1"/>
  <c r="S128" i="2"/>
  <c r="S129" i="2"/>
  <c r="S130" i="2"/>
  <c r="V130" i="2" s="1"/>
  <c r="S131" i="2"/>
  <c r="S132" i="2"/>
  <c r="S133" i="2"/>
  <c r="S134" i="2"/>
  <c r="V134" i="2" s="1"/>
  <c r="S135" i="2"/>
  <c r="V135" i="2" s="1"/>
  <c r="S136" i="2"/>
  <c r="V136" i="2" s="1"/>
  <c r="S137" i="2"/>
  <c r="V137" i="2" s="1"/>
  <c r="S138" i="2"/>
  <c r="S139" i="2"/>
  <c r="S140" i="2"/>
  <c r="S141" i="2"/>
  <c r="S142" i="2"/>
  <c r="S143" i="2"/>
  <c r="V143" i="2" s="1"/>
  <c r="S144" i="2"/>
  <c r="S145" i="2"/>
  <c r="V145" i="2" s="1"/>
  <c r="S146" i="2"/>
  <c r="V146" i="2" s="1"/>
  <c r="S147" i="2"/>
  <c r="S148" i="2"/>
  <c r="V148" i="2" s="1"/>
  <c r="S149" i="2"/>
  <c r="V149" i="2" s="1"/>
  <c r="S150" i="2"/>
  <c r="S151" i="2"/>
  <c r="S152" i="2"/>
  <c r="V152" i="2" s="1"/>
  <c r="S153" i="2"/>
  <c r="S154" i="2"/>
  <c r="S155" i="2"/>
  <c r="S156" i="2"/>
  <c r="V156" i="2" s="1"/>
  <c r="S157" i="2"/>
  <c r="V157" i="2" s="1"/>
  <c r="S158" i="2"/>
  <c r="V158" i="2" s="1"/>
  <c r="S159" i="2"/>
  <c r="V159" i="2" s="1"/>
  <c r="S160" i="2"/>
  <c r="S161" i="2"/>
  <c r="S162" i="2"/>
  <c r="S163" i="2"/>
  <c r="S164" i="2"/>
  <c r="S165" i="2"/>
  <c r="V165" i="2" s="1"/>
  <c r="S166" i="2"/>
  <c r="S167" i="2"/>
  <c r="V167" i="2" s="1"/>
  <c r="S168" i="2"/>
  <c r="V168" i="2" s="1"/>
  <c r="S169" i="2"/>
  <c r="S170" i="2"/>
  <c r="V170" i="2" s="1"/>
  <c r="S171" i="2"/>
  <c r="V171" i="2" s="1"/>
  <c r="S172" i="2"/>
  <c r="S173" i="2"/>
  <c r="S174" i="2"/>
  <c r="V174" i="2" s="1"/>
  <c r="S175" i="2"/>
  <c r="S176" i="2"/>
  <c r="S177" i="2"/>
  <c r="S178" i="2"/>
  <c r="V178" i="2" s="1"/>
  <c r="S179" i="2"/>
  <c r="V179" i="2" s="1"/>
  <c r="S180" i="2"/>
  <c r="V180" i="2" s="1"/>
  <c r="S181" i="2"/>
  <c r="V181" i="2" s="1"/>
  <c r="S182" i="2"/>
  <c r="S183" i="2"/>
  <c r="S184" i="2"/>
  <c r="S185" i="2"/>
  <c r="S186" i="2"/>
  <c r="S187" i="2"/>
  <c r="V187" i="2" s="1"/>
  <c r="S188" i="2"/>
  <c r="S189" i="2"/>
  <c r="V189" i="2" s="1"/>
  <c r="S190" i="2"/>
  <c r="V190" i="2" s="1"/>
  <c r="S191" i="2"/>
  <c r="S192" i="2"/>
  <c r="V192" i="2" s="1"/>
  <c r="S193" i="2"/>
  <c r="V193" i="2" s="1"/>
  <c r="S194" i="2"/>
  <c r="S195" i="2"/>
  <c r="S196" i="2"/>
  <c r="V196" i="2" s="1"/>
  <c r="S197" i="2"/>
  <c r="S198" i="2"/>
  <c r="S199" i="2"/>
  <c r="S200" i="2"/>
  <c r="V200" i="2" s="1"/>
  <c r="S201" i="2"/>
  <c r="V201" i="2" s="1"/>
  <c r="S202" i="2"/>
  <c r="V202" i="2" s="1"/>
  <c r="S203" i="2"/>
  <c r="V203" i="2" s="1"/>
  <c r="S204" i="2"/>
  <c r="S205" i="2"/>
  <c r="S206" i="2"/>
  <c r="S207" i="2"/>
  <c r="S208" i="2"/>
  <c r="S209" i="2"/>
  <c r="V209" i="2" s="1"/>
  <c r="S210" i="2"/>
  <c r="S211" i="2"/>
  <c r="V211" i="2" s="1"/>
  <c r="S212" i="2"/>
  <c r="V212" i="2" s="1"/>
  <c r="S213" i="2"/>
  <c r="S214" i="2"/>
  <c r="V214" i="2" s="1"/>
  <c r="S215" i="2"/>
  <c r="V215" i="2" s="1"/>
  <c r="S216" i="2"/>
  <c r="S217" i="2"/>
  <c r="S218" i="2"/>
  <c r="V218" i="2" s="1"/>
  <c r="S219" i="2"/>
  <c r="S220" i="2"/>
  <c r="S221" i="2"/>
  <c r="S222" i="2"/>
  <c r="V222" i="2" s="1"/>
  <c r="S223" i="2"/>
  <c r="V223" i="2" s="1"/>
  <c r="S224" i="2"/>
  <c r="V224" i="2" s="1"/>
  <c r="S225" i="2"/>
  <c r="V225" i="2" s="1"/>
  <c r="S226" i="2"/>
  <c r="S227" i="2"/>
  <c r="S228" i="2"/>
  <c r="S229" i="2"/>
  <c r="S230" i="2"/>
  <c r="S231" i="2"/>
  <c r="V231" i="2" s="1"/>
  <c r="S232" i="2"/>
  <c r="S233" i="2"/>
  <c r="V233" i="2" s="1"/>
  <c r="S234" i="2"/>
  <c r="V234" i="2" s="1"/>
  <c r="S235" i="2"/>
  <c r="S236" i="2"/>
  <c r="V236" i="2" s="1"/>
  <c r="S237" i="2"/>
  <c r="V237" i="2" s="1"/>
  <c r="S238" i="2"/>
  <c r="S239" i="2"/>
  <c r="S240" i="2"/>
  <c r="V240" i="2" s="1"/>
  <c r="S241" i="2"/>
  <c r="S242" i="2"/>
  <c r="S243" i="2"/>
  <c r="S244" i="2"/>
  <c r="V244" i="2" s="1"/>
  <c r="S245" i="2"/>
  <c r="V245" i="2" s="1"/>
  <c r="S246" i="2"/>
  <c r="V246" i="2" s="1"/>
  <c r="S247" i="2"/>
  <c r="V247" i="2" s="1"/>
  <c r="S248" i="2"/>
  <c r="S249" i="2"/>
  <c r="S250" i="2"/>
  <c r="S251" i="2"/>
  <c r="S252" i="2"/>
  <c r="S253" i="2"/>
  <c r="V253" i="2" s="1"/>
  <c r="S254" i="2"/>
  <c r="S255" i="2"/>
  <c r="V255" i="2" s="1"/>
  <c r="S256" i="2"/>
  <c r="V256" i="2" s="1"/>
  <c r="S257" i="2"/>
  <c r="S258" i="2"/>
  <c r="V258" i="2" s="1"/>
  <c r="S259" i="2"/>
  <c r="V259" i="2" s="1"/>
  <c r="S260" i="2"/>
  <c r="S261" i="2"/>
  <c r="S262" i="2"/>
  <c r="V262" i="2" s="1"/>
  <c r="S263" i="2"/>
  <c r="S264" i="2"/>
  <c r="S265" i="2"/>
  <c r="S266" i="2"/>
  <c r="V266" i="2" s="1"/>
  <c r="S267" i="2"/>
  <c r="V267" i="2" s="1"/>
  <c r="S268" i="2"/>
  <c r="V268" i="2" s="1"/>
  <c r="S269" i="2"/>
  <c r="V269" i="2" s="1"/>
  <c r="S270" i="2"/>
  <c r="S271" i="2"/>
  <c r="S272" i="2"/>
  <c r="S273" i="2"/>
  <c r="S274" i="2"/>
  <c r="S275" i="2"/>
  <c r="V275" i="2" s="1"/>
  <c r="S276" i="2"/>
  <c r="S277" i="2"/>
  <c r="V277" i="2" s="1"/>
  <c r="S278" i="2"/>
  <c r="V278" i="2" s="1"/>
  <c r="S279" i="2"/>
  <c r="S280" i="2"/>
  <c r="V280" i="2" s="1"/>
  <c r="S281" i="2"/>
  <c r="V281" i="2" s="1"/>
  <c r="S282" i="2"/>
  <c r="S283" i="2"/>
  <c r="S284" i="2"/>
  <c r="V284" i="2" s="1"/>
  <c r="S285" i="2"/>
  <c r="S286" i="2"/>
  <c r="S287" i="2"/>
  <c r="S288" i="2"/>
  <c r="V288" i="2" s="1"/>
  <c r="S289" i="2"/>
  <c r="V289" i="2" s="1"/>
  <c r="S290" i="2"/>
  <c r="V290" i="2" s="1"/>
  <c r="S291" i="2"/>
  <c r="V291" i="2" s="1"/>
  <c r="S292" i="2"/>
  <c r="S293" i="2"/>
  <c r="S294" i="2"/>
  <c r="S295" i="2"/>
  <c r="S296" i="2"/>
  <c r="S297" i="2"/>
  <c r="V297" i="2" s="1"/>
  <c r="S298" i="2"/>
  <c r="S299" i="2"/>
  <c r="V299" i="2" s="1"/>
  <c r="S300" i="2"/>
  <c r="V300" i="2" s="1"/>
  <c r="S301" i="2"/>
  <c r="S302" i="2"/>
  <c r="V302" i="2" s="1"/>
  <c r="S303" i="2"/>
  <c r="V303" i="2" s="1"/>
  <c r="S304" i="2"/>
  <c r="S305" i="2"/>
  <c r="S306" i="2"/>
  <c r="V306" i="2" s="1"/>
  <c r="S307" i="2"/>
  <c r="S308" i="2"/>
  <c r="S309" i="2"/>
  <c r="S310" i="2"/>
  <c r="V310" i="2" s="1"/>
  <c r="S311" i="2"/>
  <c r="V311" i="2" s="1"/>
  <c r="S312" i="2"/>
  <c r="V312" i="2" s="1"/>
  <c r="S313" i="2"/>
  <c r="V313" i="2" s="1"/>
  <c r="S314" i="2"/>
  <c r="S315" i="2"/>
  <c r="S316" i="2"/>
  <c r="S317" i="2"/>
  <c r="S318" i="2"/>
  <c r="S319" i="2"/>
  <c r="V319" i="2" s="1"/>
  <c r="S320" i="2"/>
  <c r="S321" i="2"/>
  <c r="V321" i="2" s="1"/>
  <c r="S322" i="2"/>
  <c r="V322" i="2" s="1"/>
  <c r="S323" i="2"/>
  <c r="S324" i="2"/>
  <c r="V324" i="2" s="1"/>
  <c r="S325" i="2"/>
  <c r="V325" i="2" s="1"/>
  <c r="S326" i="2"/>
  <c r="S327" i="2"/>
  <c r="S328" i="2"/>
  <c r="V328" i="2" s="1"/>
  <c r="S329" i="2"/>
  <c r="S330" i="2"/>
  <c r="S331" i="2"/>
  <c r="S332" i="2"/>
  <c r="V332" i="2" s="1"/>
  <c r="S333" i="2"/>
  <c r="V333" i="2" s="1"/>
  <c r="S334" i="2"/>
  <c r="V334" i="2" s="1"/>
  <c r="S335" i="2"/>
  <c r="V335" i="2" s="1"/>
  <c r="S336" i="2"/>
  <c r="S337" i="2"/>
  <c r="S338" i="2"/>
  <c r="S339" i="2"/>
  <c r="S340" i="2"/>
  <c r="S341" i="2"/>
  <c r="V341" i="2" s="1"/>
  <c r="S342" i="2"/>
  <c r="S343" i="2"/>
  <c r="V343" i="2" s="1"/>
  <c r="S344" i="2"/>
  <c r="V344" i="2" s="1"/>
  <c r="S345" i="2"/>
  <c r="S346" i="2"/>
  <c r="V346" i="2" s="1"/>
  <c r="S347" i="2"/>
  <c r="V347" i="2" s="1"/>
  <c r="S348" i="2"/>
  <c r="S349" i="2"/>
  <c r="S350" i="2"/>
  <c r="V350" i="2" s="1"/>
  <c r="S351" i="2"/>
  <c r="S352" i="2"/>
  <c r="S353" i="2"/>
  <c r="S354" i="2"/>
  <c r="V354" i="2" s="1"/>
  <c r="S355" i="2"/>
  <c r="V355" i="2" s="1"/>
  <c r="S356" i="2"/>
  <c r="V356" i="2" s="1"/>
  <c r="S357" i="2"/>
  <c r="V357" i="2" s="1"/>
  <c r="S358" i="2"/>
  <c r="S359" i="2"/>
  <c r="S360" i="2"/>
  <c r="S361" i="2"/>
  <c r="S362" i="2"/>
  <c r="S363" i="2"/>
  <c r="V363" i="2" s="1"/>
  <c r="S364" i="2"/>
  <c r="S365" i="2"/>
  <c r="V365" i="2" s="1"/>
  <c r="S366" i="2"/>
  <c r="V366" i="2" s="1"/>
  <c r="S367" i="2"/>
  <c r="S368" i="2"/>
  <c r="V368" i="2" s="1"/>
  <c r="S369" i="2"/>
  <c r="V369" i="2" s="1"/>
  <c r="S370" i="2"/>
  <c r="S371" i="2"/>
  <c r="S372" i="2"/>
  <c r="V372" i="2" s="1"/>
  <c r="S373" i="2"/>
  <c r="S374" i="2"/>
  <c r="S375" i="2"/>
  <c r="S376" i="2"/>
  <c r="V376" i="2" s="1"/>
  <c r="S377" i="2"/>
  <c r="V377" i="2" s="1"/>
  <c r="S378" i="2"/>
  <c r="V378" i="2" s="1"/>
  <c r="S379" i="2"/>
  <c r="V379" i="2" s="1"/>
  <c r="S380" i="2"/>
  <c r="S381" i="2"/>
  <c r="S382" i="2"/>
  <c r="S383" i="2"/>
  <c r="S384" i="2"/>
  <c r="S385" i="2"/>
  <c r="V385" i="2" s="1"/>
  <c r="S386" i="2"/>
  <c r="S387" i="2"/>
  <c r="V387" i="2" s="1"/>
  <c r="S388" i="2"/>
  <c r="V388" i="2" s="1"/>
  <c r="S389" i="2"/>
  <c r="S390" i="2"/>
  <c r="V390" i="2" s="1"/>
  <c r="S391" i="2"/>
  <c r="V391" i="2" s="1"/>
  <c r="S392" i="2"/>
  <c r="S393" i="2"/>
  <c r="S394" i="2"/>
  <c r="V394" i="2" s="1"/>
  <c r="S395" i="2"/>
  <c r="S396" i="2"/>
  <c r="S397" i="2"/>
  <c r="S398" i="2"/>
  <c r="V398" i="2" s="1"/>
  <c r="S399" i="2"/>
  <c r="V399" i="2" s="1"/>
  <c r="S400" i="2"/>
  <c r="V400" i="2" s="1"/>
  <c r="S401" i="2"/>
  <c r="V401" i="2" s="1"/>
  <c r="S402" i="2"/>
  <c r="S403" i="2"/>
  <c r="S404" i="2"/>
  <c r="S405" i="2"/>
  <c r="S406" i="2"/>
  <c r="S407" i="2"/>
  <c r="V407" i="2" s="1"/>
  <c r="S408" i="2"/>
  <c r="S409" i="2"/>
  <c r="V409" i="2" s="1"/>
  <c r="S410" i="2"/>
  <c r="V410" i="2" s="1"/>
  <c r="S411" i="2"/>
  <c r="S412" i="2"/>
  <c r="V412" i="2" s="1"/>
  <c r="S413" i="2"/>
  <c r="V413" i="2" s="1"/>
  <c r="S414" i="2"/>
  <c r="S415" i="2"/>
  <c r="S416" i="2"/>
  <c r="V416" i="2" s="1"/>
  <c r="S417" i="2"/>
  <c r="S418" i="2"/>
  <c r="S419" i="2"/>
  <c r="S420" i="2"/>
  <c r="V420" i="2" s="1"/>
  <c r="S421" i="2"/>
  <c r="V421" i="2" s="1"/>
  <c r="S422" i="2"/>
  <c r="V422" i="2" s="1"/>
  <c r="S423" i="2"/>
  <c r="V423" i="2" s="1"/>
  <c r="S424" i="2"/>
  <c r="S425" i="2"/>
  <c r="S426" i="2"/>
  <c r="S427" i="2"/>
  <c r="S428" i="2"/>
  <c r="S429" i="2"/>
  <c r="V429" i="2" s="1"/>
  <c r="S430" i="2"/>
  <c r="S431" i="2"/>
  <c r="V431" i="2" s="1"/>
  <c r="S432" i="2"/>
  <c r="V432" i="2" s="1"/>
  <c r="S433" i="2"/>
  <c r="S434" i="2"/>
  <c r="V434" i="2" s="1"/>
  <c r="S435" i="2"/>
  <c r="V435" i="2" s="1"/>
  <c r="S436" i="2"/>
  <c r="S437" i="2"/>
  <c r="S438" i="2"/>
  <c r="V438" i="2" s="1"/>
  <c r="S439" i="2"/>
  <c r="S440" i="2"/>
  <c r="S441" i="2"/>
  <c r="S442" i="2"/>
  <c r="V442" i="2" s="1"/>
  <c r="S443" i="2"/>
  <c r="V443" i="2" s="1"/>
  <c r="S444" i="2"/>
  <c r="V444" i="2" s="1"/>
  <c r="S445" i="2"/>
  <c r="V445" i="2" s="1"/>
  <c r="S446" i="2"/>
  <c r="S447" i="2"/>
  <c r="S448" i="2"/>
  <c r="S449" i="2"/>
  <c r="S450" i="2"/>
  <c r="S451" i="2"/>
  <c r="V451" i="2" s="1"/>
  <c r="S452" i="2"/>
  <c r="S453" i="2"/>
  <c r="V453" i="2" s="1"/>
  <c r="S454" i="2"/>
  <c r="V454" i="2" s="1"/>
  <c r="S455" i="2"/>
  <c r="S456" i="2"/>
  <c r="V456" i="2" s="1"/>
  <c r="S457" i="2"/>
  <c r="V457" i="2" s="1"/>
  <c r="S458" i="2"/>
  <c r="S459" i="2"/>
  <c r="S460" i="2"/>
  <c r="V460" i="2" s="1"/>
  <c r="S461" i="2"/>
  <c r="S462" i="2"/>
  <c r="S463" i="2"/>
  <c r="S464" i="2"/>
  <c r="V464" i="2" s="1"/>
  <c r="S465" i="2"/>
  <c r="V465" i="2" s="1"/>
  <c r="S466" i="2"/>
  <c r="V466" i="2" s="1"/>
  <c r="S467" i="2"/>
  <c r="V467" i="2" s="1"/>
  <c r="S468" i="2"/>
  <c r="S469" i="2"/>
  <c r="S470" i="2"/>
  <c r="S471" i="2"/>
  <c r="S472" i="2"/>
  <c r="S473" i="2"/>
  <c r="V473" i="2" s="1"/>
  <c r="S474" i="2"/>
  <c r="S475" i="2"/>
  <c r="V475" i="2" s="1"/>
  <c r="S476" i="2"/>
  <c r="V476" i="2" s="1"/>
  <c r="S477" i="2"/>
  <c r="S478" i="2"/>
  <c r="V478" i="2" s="1"/>
  <c r="S479" i="2"/>
  <c r="V479" i="2" s="1"/>
  <c r="S480" i="2"/>
  <c r="S481" i="2"/>
  <c r="S482" i="2"/>
  <c r="V482" i="2" s="1"/>
  <c r="S483" i="2"/>
  <c r="S484" i="2"/>
  <c r="S485" i="2"/>
  <c r="S486" i="2"/>
  <c r="V486" i="2" s="1"/>
  <c r="S487" i="2"/>
  <c r="V487" i="2" s="1"/>
  <c r="S488" i="2"/>
  <c r="V488" i="2" s="1"/>
  <c r="S489" i="2"/>
  <c r="V489" i="2" s="1"/>
  <c r="S490" i="2"/>
  <c r="S491" i="2"/>
  <c r="S492" i="2"/>
  <c r="S493" i="2"/>
  <c r="S494" i="2"/>
  <c r="S495" i="2"/>
  <c r="V495" i="2" s="1"/>
  <c r="S496" i="2"/>
  <c r="S497" i="2"/>
  <c r="V497" i="2" s="1"/>
  <c r="S498" i="2"/>
  <c r="V498" i="2" s="1"/>
  <c r="S499" i="2"/>
  <c r="S500" i="2"/>
  <c r="V500" i="2" s="1"/>
  <c r="S501" i="2"/>
  <c r="V501" i="2" s="1"/>
  <c r="S502" i="2"/>
  <c r="S503" i="2"/>
  <c r="S504" i="2"/>
  <c r="V504" i="2" s="1"/>
  <c r="S505" i="2"/>
  <c r="S506" i="2"/>
  <c r="S507" i="2"/>
  <c r="S508" i="2"/>
  <c r="V508" i="2" s="1"/>
  <c r="S509" i="2"/>
  <c r="V509" i="2" s="1"/>
  <c r="S510" i="2"/>
  <c r="V510" i="2" s="1"/>
  <c r="S511" i="2"/>
  <c r="V511" i="2" s="1"/>
  <c r="S512" i="2"/>
  <c r="S513" i="2"/>
  <c r="S514" i="2"/>
  <c r="S515" i="2"/>
  <c r="S516" i="2"/>
  <c r="S517" i="2"/>
  <c r="V517" i="2" s="1"/>
  <c r="S518" i="2"/>
  <c r="S519" i="2"/>
  <c r="V519" i="2" s="1"/>
  <c r="S520" i="2"/>
  <c r="V520" i="2" s="1"/>
  <c r="S521" i="2"/>
  <c r="S522" i="2"/>
  <c r="V522" i="2" s="1"/>
  <c r="S523" i="2"/>
  <c r="V523" i="2" s="1"/>
  <c r="S524" i="2"/>
  <c r="S525" i="2"/>
  <c r="S526" i="2"/>
  <c r="V526" i="2" s="1"/>
  <c r="S527" i="2"/>
  <c r="S528" i="2"/>
  <c r="S529" i="2"/>
  <c r="S530" i="2"/>
  <c r="V530" i="2" s="1"/>
  <c r="S531" i="2"/>
  <c r="V531" i="2" s="1"/>
  <c r="S532" i="2"/>
  <c r="V532" i="2" s="1"/>
  <c r="S533" i="2"/>
  <c r="V533" i="2" s="1"/>
  <c r="S534" i="2"/>
  <c r="S535" i="2"/>
  <c r="S536" i="2"/>
  <c r="S537" i="2"/>
  <c r="S538" i="2"/>
  <c r="S539" i="2"/>
  <c r="V539" i="2" s="1"/>
  <c r="S540" i="2"/>
  <c r="S541" i="2"/>
  <c r="V541" i="2" s="1"/>
  <c r="S542" i="2"/>
  <c r="V542" i="2" s="1"/>
  <c r="S543" i="2"/>
  <c r="S544" i="2"/>
  <c r="V544" i="2" s="1"/>
  <c r="S545" i="2"/>
  <c r="V545" i="2" s="1"/>
  <c r="S546" i="2"/>
  <c r="S547" i="2"/>
  <c r="S548" i="2"/>
  <c r="V548" i="2" s="1"/>
  <c r="S549" i="2"/>
  <c r="S550" i="2"/>
  <c r="S551" i="2"/>
  <c r="S552" i="2"/>
  <c r="V552" i="2" s="1"/>
  <c r="S553" i="2"/>
  <c r="V553" i="2" s="1"/>
  <c r="S554" i="2"/>
  <c r="V554" i="2" s="1"/>
  <c r="S555" i="2"/>
  <c r="V555" i="2" s="1"/>
  <c r="S556" i="2"/>
  <c r="S557" i="2"/>
  <c r="S558" i="2"/>
  <c r="S559" i="2"/>
  <c r="S560" i="2"/>
  <c r="S561" i="2"/>
  <c r="V561" i="2" s="1"/>
  <c r="S562" i="2"/>
  <c r="S563" i="2"/>
  <c r="V563" i="2" s="1"/>
  <c r="S564" i="2"/>
  <c r="V564" i="2" s="1"/>
  <c r="S565" i="2"/>
  <c r="S566" i="2"/>
  <c r="V566" i="2" s="1"/>
  <c r="S567" i="2"/>
  <c r="V567" i="2" s="1"/>
  <c r="S568" i="2"/>
  <c r="S569" i="2"/>
  <c r="S570" i="2"/>
  <c r="V570" i="2" s="1"/>
  <c r="S571" i="2"/>
  <c r="S572" i="2"/>
  <c r="S573" i="2"/>
  <c r="S574" i="2"/>
  <c r="V574" i="2" s="1"/>
  <c r="S575" i="2"/>
  <c r="V575" i="2" s="1"/>
  <c r="S576" i="2"/>
  <c r="V576" i="2" s="1"/>
  <c r="S577" i="2"/>
  <c r="V577" i="2" s="1"/>
  <c r="S578" i="2"/>
  <c r="S579" i="2"/>
  <c r="S580" i="2"/>
  <c r="S581" i="2"/>
  <c r="S582" i="2"/>
  <c r="S583" i="2"/>
  <c r="V583" i="2" s="1"/>
  <c r="S584" i="2"/>
  <c r="S585" i="2"/>
  <c r="V585" i="2" s="1"/>
  <c r="S586" i="2"/>
  <c r="V586" i="2" s="1"/>
  <c r="S587" i="2"/>
  <c r="S588" i="2"/>
  <c r="V588" i="2" s="1"/>
  <c r="S589" i="2"/>
  <c r="V589" i="2" s="1"/>
  <c r="S590" i="2"/>
  <c r="S591" i="2"/>
  <c r="S592" i="2"/>
  <c r="V592" i="2" s="1"/>
  <c r="S593" i="2"/>
  <c r="S594" i="2"/>
  <c r="S595" i="2"/>
  <c r="S596" i="2"/>
  <c r="V596" i="2" s="1"/>
  <c r="S597" i="2"/>
  <c r="V597" i="2" s="1"/>
  <c r="S598" i="2"/>
  <c r="V598" i="2" s="1"/>
  <c r="S599" i="2"/>
  <c r="V599" i="2" s="1"/>
  <c r="S600" i="2"/>
  <c r="S6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F790C-F402-49F5-B59B-20553CF61C7D}" keepAlive="1" name="Query - monthly_revenue_clean" description="Connection to the 'monthly_revenue_clean' query in the workbook." type="5" refreshedVersion="8" background="1" saveData="1">
    <dbPr connection="Provider=Microsoft.Mashup.OleDb.1;Data Source=$Workbook$;Location=monthly_revenue_clean;Extended Properties=&quot;&quot;" command="SELECT * FROM [monthly_revenue_clean]"/>
  </connection>
  <connection id="2" xr16:uid="{B79A102D-46D9-4199-A819-C14D9C237362}" keepAlive="1" name="Query - subscriptions_cleaned" description="Connection to the 'subscriptions_cleaned' query in the workbook." type="5" refreshedVersion="0" background="1">
    <dbPr connection="Provider=Microsoft.Mashup.OleDb.1;Data Source=$Workbook$;Location=subscriptions_cleaned;Extended Properties=&quot;&quot;" command="SELECT * FROM [subscriptions_cleaned]"/>
  </connection>
  <connection id="3" xr16:uid="{7F555263-8262-431A-B454-3F8C534C0553}" keepAlive="1" name="Query - subscriptions_cleaned (2)" description="Connection to the 'subscriptions_cleaned (2)' query in the workbook." type="5" refreshedVersion="8" background="1" saveData="1">
    <dbPr connection="Provider=Microsoft.Mashup.OleDb.1;Data Source=$Workbook$;Location=&quot;subscriptions_cleaned (2)&quot;;Extended Properties=&quot;&quot;" command="SELECT * FROM [subscriptions_cleaned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<sst xmlns="http://schemas.openxmlformats.org/spreadsheetml/2006/main" count="6721" uniqueCount="976">
  <si>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</si>
  <si>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</si>
  <si>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</si>
  <si>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</si>
  <si>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</si>
  <si>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</si>
  <si>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</si>
  <si>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</si>
  <si>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</si>
  <si>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</si>
  <si>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</si>
  <si>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</si>
  <si>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</si>
  <si>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</si>
  <si>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</si>
  <si>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</si>
  <si>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</si>
  <si>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CUST-0001</t>
  </si>
  <si>
    <t>Professional</t>
  </si>
  <si>
    <t>Monthly</t>
  </si>
  <si>
    <t>Retail</t>
  </si>
  <si>
    <t>51-200</t>
  </si>
  <si>
    <t>Organic Search</t>
  </si>
  <si>
    <t>North America</t>
  </si>
  <si>
    <t>Yes</t>
  </si>
  <si>
    <t>2024-03-05</t>
  </si>
  <si>
    <t>Price Too High</t>
  </si>
  <si>
    <t>No</t>
  </si>
  <si>
    <t>CUST-0002</t>
  </si>
  <si>
    <t>Annual</t>
  </si>
  <si>
    <t>Direct Sales</t>
  </si>
  <si>
    <t>NULL</t>
  </si>
  <si>
    <t>CUST-0003</t>
  </si>
  <si>
    <t>Starter</t>
  </si>
  <si>
    <t>Finance</t>
  </si>
  <si>
    <t>500+</t>
  </si>
  <si>
    <t>Partner</t>
  </si>
  <si>
    <t>2025-04-13</t>
  </si>
  <si>
    <t>CUST-0004</t>
  </si>
  <si>
    <t>Business</t>
  </si>
  <si>
    <t>Real Estate</t>
  </si>
  <si>
    <t>11-50</t>
  </si>
  <si>
    <t>Europe</t>
  </si>
  <si>
    <t>CUST-0005</t>
  </si>
  <si>
    <t>Manufacturing</t>
  </si>
  <si>
    <t>CUST-0006</t>
  </si>
  <si>
    <t>Technology</t>
  </si>
  <si>
    <t>1-10</t>
  </si>
  <si>
    <t>Referral</t>
  </si>
  <si>
    <t>CUST-0007</t>
  </si>
  <si>
    <t>201-500</t>
  </si>
  <si>
    <t>2025-04-08</t>
  </si>
  <si>
    <t>Poor Support</t>
  </si>
  <si>
    <t>CUST-0008</t>
  </si>
  <si>
    <t>2025-06-08</t>
  </si>
  <si>
    <t>CUST-0009</t>
  </si>
  <si>
    <t>Media</t>
  </si>
  <si>
    <t>2023-04-21</t>
  </si>
  <si>
    <t>Switched Competitor</t>
  </si>
  <si>
    <t>CUST-0010</t>
  </si>
  <si>
    <t>Healthcare</t>
  </si>
  <si>
    <t>2023-12-01</t>
  </si>
  <si>
    <t>Budget Cuts</t>
  </si>
  <si>
    <t>CUST-0011</t>
  </si>
  <si>
    <t>Asia Pacific</t>
  </si>
  <si>
    <t>2023-06-14</t>
  </si>
  <si>
    <t>Company Closed</t>
  </si>
  <si>
    <t>CUST-0012</t>
  </si>
  <si>
    <t>CUST-0013</t>
  </si>
  <si>
    <t>CUST-0014</t>
  </si>
  <si>
    <t>Paid Ads</t>
  </si>
  <si>
    <t>2022-09-27</t>
  </si>
  <si>
    <t>CUST-0015</t>
  </si>
  <si>
    <t>Education</t>
  </si>
  <si>
    <t>2024-05-16</t>
  </si>
  <si>
    <t>No Longer Needed</t>
  </si>
  <si>
    <t>CUST-0016</t>
  </si>
  <si>
    <t>2023-01-24</t>
  </si>
  <si>
    <t>CUST-0017</t>
  </si>
  <si>
    <t>2024-12-31</t>
  </si>
  <si>
    <t>CUST-0018</t>
  </si>
  <si>
    <t>2023-08-05</t>
  </si>
  <si>
    <t>CUST-0019</t>
  </si>
  <si>
    <t>Legal</t>
  </si>
  <si>
    <t>Latin America</t>
  </si>
  <si>
    <t>2025-04-23</t>
  </si>
  <si>
    <t>CUST-0020</t>
  </si>
  <si>
    <t>Enterprise</t>
  </si>
  <si>
    <t>CUST-0021</t>
  </si>
  <si>
    <t>2024-05-18</t>
  </si>
  <si>
    <t>CUST-0022</t>
  </si>
  <si>
    <t>CUST-0023</t>
  </si>
  <si>
    <t>2024-04-23</t>
  </si>
  <si>
    <t>CUST-0024</t>
  </si>
  <si>
    <t>CUST-0025</t>
  </si>
  <si>
    <t>CUST-0026</t>
  </si>
  <si>
    <t>CUST-0027</t>
  </si>
  <si>
    <t>Consulting</t>
  </si>
  <si>
    <t>2025-04-24</t>
  </si>
  <si>
    <t>CUST-0028</t>
  </si>
  <si>
    <t>CUST-0029</t>
  </si>
  <si>
    <t>2023-08-15</t>
  </si>
  <si>
    <t>Missing Features</t>
  </si>
  <si>
    <t>CUST-0030</t>
  </si>
  <si>
    <t>CUST-0031</t>
  </si>
  <si>
    <t>CUST-0032</t>
  </si>
  <si>
    <t>CUST-0033</t>
  </si>
  <si>
    <t>2024-07-29</t>
  </si>
  <si>
    <t>CUST-0034</t>
  </si>
  <si>
    <t>CUST-0035</t>
  </si>
  <si>
    <t>2022-07-24</t>
  </si>
  <si>
    <t>CUST-0036</t>
  </si>
  <si>
    <t>2023-12-24</t>
  </si>
  <si>
    <t>CUST-0037</t>
  </si>
  <si>
    <t>2024-11-08</t>
  </si>
  <si>
    <t>CUST-0038</t>
  </si>
  <si>
    <t>2022-08-11</t>
  </si>
  <si>
    <t>CUST-0039</t>
  </si>
  <si>
    <t>CUST-0040</t>
  </si>
  <si>
    <t>CUST-0041</t>
  </si>
  <si>
    <t>2023-05-19</t>
  </si>
  <si>
    <t>CUST-0042</t>
  </si>
  <si>
    <t>CUST-0043</t>
  </si>
  <si>
    <t>CUST-0044</t>
  </si>
  <si>
    <t>Social Media</t>
  </si>
  <si>
    <t>2022-08-02</t>
  </si>
  <si>
    <t>CUST-0045</t>
  </si>
  <si>
    <t>CUST-0046</t>
  </si>
  <si>
    <t>2024-02-28</t>
  </si>
  <si>
    <t>CUST-0047</t>
  </si>
  <si>
    <t>2025-06-13</t>
  </si>
  <si>
    <t>CUST-0048</t>
  </si>
  <si>
    <t>2022-07-12</t>
  </si>
  <si>
    <t>CUST-0049</t>
  </si>
  <si>
    <t>2022-08-27</t>
  </si>
  <si>
    <t>CUST-0050</t>
  </si>
  <si>
    <t>2024-06-30</t>
  </si>
  <si>
    <t>CUST-0051</t>
  </si>
  <si>
    <t>2023-04-14</t>
  </si>
  <si>
    <t>CUST-0052</t>
  </si>
  <si>
    <t>2025-07-15</t>
  </si>
  <si>
    <t>CUST-0053</t>
  </si>
  <si>
    <t>2025-07-04</t>
  </si>
  <si>
    <t>CUST-0054</t>
  </si>
  <si>
    <t>CUST-0055</t>
  </si>
  <si>
    <t>2024-09-16</t>
  </si>
  <si>
    <t>CUST-0056</t>
  </si>
  <si>
    <t>2025-11-15</t>
  </si>
  <si>
    <t>CUST-0057</t>
  </si>
  <si>
    <t>2025-08-05</t>
  </si>
  <si>
    <t>CUST-0058</t>
  </si>
  <si>
    <t>2023-03-17</t>
  </si>
  <si>
    <t>CUST-0059</t>
  </si>
  <si>
    <t>2024-10-10</t>
  </si>
  <si>
    <t>CUST-0060</t>
  </si>
  <si>
    <t>2024-09-07</t>
  </si>
  <si>
    <t>CUST-0061</t>
  </si>
  <si>
    <t>2023-04-06</t>
  </si>
  <si>
    <t>CUST-0062</t>
  </si>
  <si>
    <t>2024-04-13</t>
  </si>
  <si>
    <t>CUST-0063</t>
  </si>
  <si>
    <t>CUST-0064</t>
  </si>
  <si>
    <t>CUST-0065</t>
  </si>
  <si>
    <t>2022-11-20</t>
  </si>
  <si>
    <t>CUST-0066</t>
  </si>
  <si>
    <t>2024-07-21</t>
  </si>
  <si>
    <t>CUST-0067</t>
  </si>
  <si>
    <t>CUST-0068</t>
  </si>
  <si>
    <t>CUST-0069</t>
  </si>
  <si>
    <t>2024-09-17</t>
  </si>
  <si>
    <t>CUST-0070</t>
  </si>
  <si>
    <t>CUST-0071</t>
  </si>
  <si>
    <t>CUST-0072</t>
  </si>
  <si>
    <t>CUST-0073</t>
  </si>
  <si>
    <t>CUST-0074</t>
  </si>
  <si>
    <t>2024-12-03</t>
  </si>
  <si>
    <t>CUST-0075</t>
  </si>
  <si>
    <t>CUST-0076</t>
  </si>
  <si>
    <t>CUST-0077</t>
  </si>
  <si>
    <t>CUST-0078</t>
  </si>
  <si>
    <t>2025-09-09</t>
  </si>
  <si>
    <t>CUST-0079</t>
  </si>
  <si>
    <t>CUST-0080</t>
  </si>
  <si>
    <t>2025-04-06</t>
  </si>
  <si>
    <t>CUST-0081</t>
  </si>
  <si>
    <t>CUST-0082</t>
  </si>
  <si>
    <t>2025-06-04</t>
  </si>
  <si>
    <t>CUST-0083</t>
  </si>
  <si>
    <t>CUST-0084</t>
  </si>
  <si>
    <t>2024-01-17</t>
  </si>
  <si>
    <t>CUST-0085</t>
  </si>
  <si>
    <t>2025-03-14</t>
  </si>
  <si>
    <t>CUST-0086</t>
  </si>
  <si>
    <t>CUST-0087</t>
  </si>
  <si>
    <t>CUST-0088</t>
  </si>
  <si>
    <t>2025-05-29</t>
  </si>
  <si>
    <t>CUST-0089</t>
  </si>
  <si>
    <t>2023-10-01</t>
  </si>
  <si>
    <t>CUST-0090</t>
  </si>
  <si>
    <t>CUST-0091</t>
  </si>
  <si>
    <t>2025-02-22</t>
  </si>
  <si>
    <t>CUST-0092</t>
  </si>
  <si>
    <t>CUST-0093</t>
  </si>
  <si>
    <t>CUST-0094</t>
  </si>
  <si>
    <t>2025-09-30</t>
  </si>
  <si>
    <t>CUST-0095</t>
  </si>
  <si>
    <t>2023-04-09</t>
  </si>
  <si>
    <t>CUST-0096</t>
  </si>
  <si>
    <t>2023-09-26</t>
  </si>
  <si>
    <t>CUST-0097</t>
  </si>
  <si>
    <t>CUST-0098</t>
  </si>
  <si>
    <t>2025-12-14</t>
  </si>
  <si>
    <t>CUST-0099</t>
  </si>
  <si>
    <t>CUST-0100</t>
  </si>
  <si>
    <t>CUST-0101</t>
  </si>
  <si>
    <t>2025-01-28</t>
  </si>
  <si>
    <t>CUST-0102</t>
  </si>
  <si>
    <t>CUST-0103</t>
  </si>
  <si>
    <t>CUST-0104</t>
  </si>
  <si>
    <t>2025-05-31</t>
  </si>
  <si>
    <t>CUST-0105</t>
  </si>
  <si>
    <t>CUST-0106</t>
  </si>
  <si>
    <t>2025-02-24</t>
  </si>
  <si>
    <t>CUST-0107</t>
  </si>
  <si>
    <t>2024-05-09</t>
  </si>
  <si>
    <t>CUST-0108</t>
  </si>
  <si>
    <t>CUST-0109</t>
  </si>
  <si>
    <t>CUST-0110</t>
  </si>
  <si>
    <t>2025-05-01</t>
  </si>
  <si>
    <t>CUST-0111</t>
  </si>
  <si>
    <t>2023-11-12</t>
  </si>
  <si>
    <t>CUST-0112</t>
  </si>
  <si>
    <t>2022-05-07</t>
  </si>
  <si>
    <t>CUST-0113</t>
  </si>
  <si>
    <t>2023-10-31</t>
  </si>
  <si>
    <t>CUST-0114</t>
  </si>
  <si>
    <t>2022-06-19</t>
  </si>
  <si>
    <t>CUST-0115</t>
  </si>
  <si>
    <t>CUST-0116</t>
  </si>
  <si>
    <t>CUST-0117</t>
  </si>
  <si>
    <t>2025-06-14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</si>
  <si>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</si>
  <si>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</si>
  <si>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</si>
  <si>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</si>
  <si>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</si>
  <si>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</si>
  <si>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</si>
  <si>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</si>
  <si>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</si>
  <si>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</si>
  <si>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2025-01-15</t>
  </si>
  <si>
    <t>CUST-0128</t>
  </si>
  <si>
    <t>2023-04-24</t>
  </si>
  <si>
    <t>CUST-0129</t>
  </si>
  <si>
    <t>CUST-0130</t>
  </si>
  <si>
    <t>CUST-0131</t>
  </si>
  <si>
    <t>CUST-0132</t>
  </si>
  <si>
    <t>CUST-0133</t>
  </si>
  <si>
    <t>CUST-0134</t>
  </si>
  <si>
    <t>2025-07-10</t>
  </si>
  <si>
    <t>CUST-0135</t>
  </si>
  <si>
    <t>CUST-0136</t>
  </si>
  <si>
    <t>CUST-0137</t>
  </si>
  <si>
    <t>2024-02-16</t>
  </si>
  <si>
    <t>CUST-0138</t>
  </si>
  <si>
    <t>2022-09-08</t>
  </si>
  <si>
    <t>CUST-0139</t>
  </si>
  <si>
    <t>2025-12-19</t>
  </si>
  <si>
    <t>CUST-0140</t>
  </si>
  <si>
    <t>2022-07-22</t>
  </si>
  <si>
    <t>CUST-0141</t>
  </si>
  <si>
    <t>CUST-0142</t>
  </si>
  <si>
    <t>CUST-0143</t>
  </si>
  <si>
    <t>CUST-0144</t>
  </si>
  <si>
    <t>2023-07-22</t>
  </si>
  <si>
    <t>CUST-0145</t>
  </si>
  <si>
    <t>2024-11-17</t>
  </si>
  <si>
    <t>CUST-0146</t>
  </si>
  <si>
    <t>CUST-0147</t>
  </si>
  <si>
    <t>2023-11-21</t>
  </si>
  <si>
    <t>CUST-0148</t>
  </si>
  <si>
    <t>CUST-0149</t>
  </si>
  <si>
    <t>CUST-0150</t>
  </si>
  <si>
    <t>2024-02-24</t>
  </si>
  <si>
    <t>CUST-0151</t>
  </si>
  <si>
    <t>2024-12-06</t>
  </si>
  <si>
    <t>CUST-0152</t>
  </si>
  <si>
    <t>2024-08-22</t>
  </si>
  <si>
    <t>CUST-0153</t>
  </si>
  <si>
    <t>2025-11-30</t>
  </si>
  <si>
    <t>CUST-0154</t>
  </si>
  <si>
    <t>2025-02-26</t>
  </si>
  <si>
    <t>CUST-0155</t>
  </si>
  <si>
    <t>2024-04-03</t>
  </si>
  <si>
    <t>CUST-0156</t>
  </si>
  <si>
    <t>CUST-0157</t>
  </si>
  <si>
    <t>CUST-0158</t>
  </si>
  <si>
    <t>CUST-0159</t>
  </si>
  <si>
    <t>CUST-0160</t>
  </si>
  <si>
    <t>CUST-0161</t>
  </si>
  <si>
    <t>2025-04-19</t>
  </si>
  <si>
    <t>CUST-0162</t>
  </si>
  <si>
    <t>2023-11-26</t>
  </si>
  <si>
    <t>CUST-0163</t>
  </si>
  <si>
    <t>CUST-0164</t>
  </si>
  <si>
    <t>2025-06-11</t>
  </si>
  <si>
    <t>CUST-0165</t>
  </si>
  <si>
    <t>CUST-0166</t>
  </si>
  <si>
    <t>2025-01-25</t>
  </si>
  <si>
    <t>CUST-0167</t>
  </si>
  <si>
    <t>CUST-0168</t>
  </si>
  <si>
    <t>2023-04-29</t>
  </si>
  <si>
    <t>CUST-0169</t>
  </si>
  <si>
    <t>CUST-0170</t>
  </si>
  <si>
    <t>CUST-0171</t>
  </si>
  <si>
    <t>2023-07-31</t>
  </si>
  <si>
    <t>CUST-0172</t>
  </si>
  <si>
    <t>2024-05-08</t>
  </si>
  <si>
    <t>CUST-0173</t>
  </si>
  <si>
    <t>CUST-0174</t>
  </si>
  <si>
    <t>CUST-0175</t>
  </si>
  <si>
    <t>CUST-0176</t>
  </si>
  <si>
    <t>2023-09-11</t>
  </si>
  <si>
    <t>CUST-0177</t>
  </si>
  <si>
    <t>2025-11-09</t>
  </si>
  <si>
    <t>CUST-0178</t>
  </si>
  <si>
    <t>CUST-0179</t>
  </si>
  <si>
    <t>CUST-0180</t>
  </si>
  <si>
    <t>2025-03-25</t>
  </si>
  <si>
    <t>CUST-0181</t>
  </si>
  <si>
    <t>CUST-0182</t>
  </si>
  <si>
    <t>CUST-0183</t>
  </si>
  <si>
    <t>2025-01-06</t>
  </si>
  <si>
    <t>CUST-0184</t>
  </si>
  <si>
    <t>CUST-0185</t>
  </si>
  <si>
    <t>CUST-0186</t>
  </si>
  <si>
    <t>2025-11-28</t>
  </si>
  <si>
    <t>CUST-0187</t>
  </si>
  <si>
    <t>2024-11-30</t>
  </si>
  <si>
    <t>CUST-0188</t>
  </si>
  <si>
    <t>2024-12-24</t>
  </si>
  <si>
    <t>CUST-0189</t>
  </si>
  <si>
    <t>CUST-0190</t>
  </si>
  <si>
    <t>CUST-0191</t>
  </si>
  <si>
    <t>2023-01-25</t>
  </si>
  <si>
    <t>CUST-0192</t>
  </si>
  <si>
    <t>CUST-0193</t>
  </si>
  <si>
    <t>CUST-0194</t>
  </si>
  <si>
    <t>CUST-0195</t>
  </si>
  <si>
    <t>2024-07-19</t>
  </si>
  <si>
    <t>CUST-0196</t>
  </si>
  <si>
    <t>CUST-0197</t>
  </si>
  <si>
    <t>CUST-0198</t>
  </si>
  <si>
    <t>CUST-0199</t>
  </si>
  <si>
    <t>CUST-0200</t>
  </si>
  <si>
    <t>2024-11-02</t>
  </si>
  <si>
    <t>CUST-0201</t>
  </si>
  <si>
    <t>2024-10-13</t>
  </si>
  <si>
    <t>CUST-0202</t>
  </si>
  <si>
    <t>2023-11-04</t>
  </si>
  <si>
    <t>CUST-0203</t>
  </si>
  <si>
    <t>CUST-0204</t>
  </si>
  <si>
    <t>2024-07-20</t>
  </si>
  <si>
    <t>CUST-0205</t>
  </si>
  <si>
    <t>CUST-0206</t>
  </si>
  <si>
    <t>2024-07-02</t>
  </si>
  <si>
    <t>CUST-0207</t>
  </si>
  <si>
    <t>2023-12-15</t>
  </si>
  <si>
    <t>CUST-0208</t>
  </si>
  <si>
    <t>2025-07-03</t>
  </si>
  <si>
    <t>CUST-0209</t>
  </si>
  <si>
    <t>2022-07-30</t>
  </si>
  <si>
    <t>CUST-0210</t>
  </si>
  <si>
    <t>2025-05-26</t>
  </si>
  <si>
    <t>CUST-0211</t>
  </si>
  <si>
    <t>CUST-0212</t>
  </si>
  <si>
    <t>CUST-0213</t>
  </si>
  <si>
    <t>CUST-0214</t>
  </si>
  <si>
    <t>2025-08-11</t>
  </si>
  <si>
    <t>CUST-0215</t>
  </si>
  <si>
    <t>2025-06-29</t>
  </si>
  <si>
    <t>CUST-0216</t>
  </si>
  <si>
    <t>CUST-0217</t>
  </si>
  <si>
    <t>CUST-0218</t>
  </si>
  <si>
    <t>2024-01-25</t>
  </si>
  <si>
    <t>CUST-0219</t>
  </si>
  <si>
    <t>CUST-0220</t>
  </si>
  <si>
    <t>2025-05-11</t>
  </si>
  <si>
    <t>CUST-0221</t>
  </si>
  <si>
    <t>CUST-0222</t>
  </si>
  <si>
    <t>CUST-0223</t>
  </si>
  <si>
    <t>2025-10-19</t>
  </si>
  <si>
    <t>CUST-0224</t>
  </si>
  <si>
    <t>2025-02-13</t>
  </si>
  <si>
    <t>CUST-0225</t>
  </si>
  <si>
    <t>CUST-0226</t>
  </si>
  <si>
    <t>CUST-0227</t>
  </si>
  <si>
    <t>2024-10-27</t>
  </si>
  <si>
    <t>CUST-0228</t>
  </si>
  <si>
    <t>CUST-0229</t>
  </si>
  <si>
    <t>CUST-0230</t>
  </si>
  <si>
    <t>2023-10-22</t>
  </si>
  <si>
    <t>CUST-0231</t>
  </si>
  <si>
    <t>CUST-0232</t>
  </si>
  <si>
    <t>CUST-0233</t>
  </si>
  <si>
    <t>CUST-0234</t>
  </si>
  <si>
    <t>2024-12-04</t>
  </si>
  <si>
    <t>CUST-0235</t>
  </si>
  <si>
    <t>CUST-0236</t>
  </si>
  <si>
    <t>2023-07-12</t>
  </si>
  <si>
    <t>CUST-0237</t>
  </si>
  <si>
    <t>CUST-0238</t>
  </si>
  <si>
    <t>CUST-0239</t>
  </si>
  <si>
    <t>2023-07-02</t>
  </si>
  <si>
    <t>CUST-0240</t>
  </si>
  <si>
    <t>CUST-0241</t>
  </si>
  <si>
    <t>2023-10-29</t>
  </si>
  <si>
    <t>CUST-0242</t>
  </si>
  <si>
    <t>CUST-0243</t>
  </si>
  <si>
    <t>CUST-0244</t>
  </si>
  <si>
    <t>2025-05-07</t>
  </si>
  <si>
    <t>CUST-0245</t>
  </si>
  <si>
    <t>CUST-0246</t>
  </si>
  <si>
    <t>2024-06-23</t>
  </si>
  <si>
    <t>CUST-0247</t>
  </si>
  <si>
    <t>CUST-0248</t>
  </si>
  <si>
    <t>2024-11-18</t>
  </si>
  <si>
    <t>CUST-0249</t>
  </si>
  <si>
    <t>2025-10-15</t>
  </si>
  <si>
    <t>CUST-0250</t>
  </si>
  <si>
    <t>CUST-0251</t>
  </si>
  <si>
    <t>2025-01-12</t>
  </si>
  <si>
    <t>CUST-0252</t>
  </si>
  <si>
    <t>CUST-0253</t>
  </si>
  <si>
    <t>2024-01-13</t>
  </si>
  <si>
    <t>CUST-0254</t>
  </si>
  <si>
    <t>CUST-0255</t>
  </si>
  <si>
    <t>2022-04-20</t>
  </si>
  <si>
    <t>CUST-0256</t>
  </si>
  <si>
    <t>CUST-0257</t>
  </si>
  <si>
    <t>CUST-0258</t>
  </si>
  <si>
    <t>2024-04-18</t>
  </si>
  <si>
    <t>CUST-0259</t>
  </si>
  <si>
    <t>CUST-0260</t>
  </si>
  <si>
    <t>2025-02-05</t>
  </si>
  <si>
    <t>CUST-0261</t>
  </si>
  <si>
    <t>CUST-0262</t>
  </si>
  <si>
    <t>2025-05-14</t>
  </si>
  <si>
    <t>CUST-0263</t>
  </si>
  <si>
    <t>CUST-0264</t>
  </si>
  <si>
    <t>CUST-0265</t>
  </si>
  <si>
    <t>CUST-0266</t>
  </si>
  <si>
    <t>2022-07-08</t>
  </si>
  <si>
    <t>CUST-0267</t>
  </si>
  <si>
    <t>CUST-0268</t>
  </si>
  <si>
    <t>CUST-0269</t>
  </si>
  <si>
    <t>2025-12-11</t>
  </si>
  <si>
    <t>CUST-0270</t>
  </si>
  <si>
    <t>2025-08-03</t>
  </si>
  <si>
    <t>CUST-0271</t>
  </si>
  <si>
    <t>2025-03-05</t>
  </si>
  <si>
    <t>CUST-0272</t>
  </si>
  <si>
    <t>2024-05-27</t>
  </si>
  <si>
    <t>CUST-0273</t>
  </si>
  <si>
    <t>CUST-0274</t>
  </si>
  <si>
    <t>CUST-0275</t>
  </si>
  <si>
    <t>CUST-0276</t>
  </si>
  <si>
    <t>CUST-0277</t>
  </si>
  <si>
    <t>2023-05-07</t>
  </si>
  <si>
    <t>CUST-0278</t>
  </si>
  <si>
    <t>CUST-0279</t>
  </si>
  <si>
    <t>CUST-0280</t>
  </si>
  <si>
    <t>CUST-0281</t>
  </si>
  <si>
    <t>CUST-0282</t>
  </si>
  <si>
    <t>CUST-0283</t>
  </si>
  <si>
    <t>2025-09-25</t>
  </si>
  <si>
    <t>CUST-0284</t>
  </si>
  <si>
    <t>CUST-0285</t>
  </si>
  <si>
    <t>CUST-0286</t>
  </si>
  <si>
    <t>2023-09-25</t>
  </si>
  <si>
    <t>CUST-0287</t>
  </si>
  <si>
    <t>CUST-0288</t>
  </si>
  <si>
    <t>CUST-0289</t>
  </si>
  <si>
    <t>CUST-0290</t>
  </si>
  <si>
    <t>2024-05-29</t>
  </si>
  <si>
    <t>CUST-0291</t>
  </si>
  <si>
    <t>CUST-0292</t>
  </si>
  <si>
    <t>2025-01-31</t>
  </si>
  <si>
    <t>CUST-0293</t>
  </si>
  <si>
    <t>CUST-0294</t>
  </si>
  <si>
    <t>2025-11-14</t>
  </si>
  <si>
    <t>CUST-0295</t>
  </si>
  <si>
    <t>2022-10-29</t>
  </si>
  <si>
    <t>CUST-0296</t>
  </si>
  <si>
    <t>2023-11-10</t>
  </si>
  <si>
    <t>CUST-0297</t>
  </si>
  <si>
    <t>CUST-0298</t>
  </si>
  <si>
    <t>2024-08-27</t>
  </si>
  <si>
    <t>CUST-0299</t>
  </si>
  <si>
    <t>2022-07-15</t>
  </si>
  <si>
    <t>CUST-0300</t>
  </si>
  <si>
    <t>CUST-0301</t>
  </si>
  <si>
    <t>CUST-0302</t>
  </si>
  <si>
    <t>CUST-0303</t>
  </si>
  <si>
    <t>2023-12-12</t>
  </si>
  <si>
    <t>CUST-0304</t>
  </si>
  <si>
    <t>2023-02-19</t>
  </si>
  <si>
    <t>CUST-0305</t>
  </si>
  <si>
    <t>CUST-0306</t>
  </si>
  <si>
    <t>CUST-0307</t>
  </si>
  <si>
    <t>CUST-0308</t>
  </si>
  <si>
    <t>CUST-0309</t>
  </si>
  <si>
    <t>2024-01-09</t>
  </si>
  <si>
    <t>CUST-0310</t>
  </si>
  <si>
    <t>2024-02-11</t>
  </si>
  <si>
    <t>CUST-0311</t>
  </si>
  <si>
    <t>CUST-0312</t>
  </si>
  <si>
    <t>2024-09-01</t>
  </si>
  <si>
    <t>CUST-0313</t>
  </si>
  <si>
    <t>CUST-0314</t>
  </si>
  <si>
    <t>CUST-0315</t>
  </si>
  <si>
    <t>2025-09-20</t>
  </si>
  <si>
    <t>CUST-0316</t>
  </si>
  <si>
    <t>2025-09-06</t>
  </si>
  <si>
    <t>CUST-0317</t>
  </si>
  <si>
    <t>2025-04-11</t>
  </si>
  <si>
    <t>CUST-0318</t>
  </si>
  <si>
    <t>2025-10-26</t>
  </si>
  <si>
    <t>CUST-0319</t>
  </si>
  <si>
    <t>2022-10-13</t>
  </si>
  <si>
    <t>CUST-0320</t>
  </si>
  <si>
    <t>CUST-0321</t>
  </si>
  <si>
    <t>2025-04-30</t>
  </si>
  <si>
    <t>CUST-0322</t>
  </si>
  <si>
    <t>2024-12-11</t>
  </si>
  <si>
    <t>CUST-0323</t>
  </si>
  <si>
    <t>CUST-0324</t>
  </si>
  <si>
    <t>CUST-0325</t>
  </si>
  <si>
    <t>CUST-0326</t>
  </si>
  <si>
    <t>CUST-0327</t>
  </si>
  <si>
    <t>2022-06-25</t>
  </si>
  <si>
    <t>CUST-0328</t>
  </si>
  <si>
    <t>CUST-0329</t>
  </si>
  <si>
    <t>CUST-0330</t>
  </si>
  <si>
    <t>CUST-0331</t>
  </si>
  <si>
    <t>CUST-0332</t>
  </si>
  <si>
    <t>2025-06-10</t>
  </si>
  <si>
    <t>CUST-0333</t>
  </si>
  <si>
    <t>2025-10-06</t>
  </si>
  <si>
    <t>CUST-0334</t>
  </si>
  <si>
    <t>2024-01-22</t>
  </si>
  <si>
    <t>CUST-0335</t>
  </si>
  <si>
    <t>2024-03-13</t>
  </si>
  <si>
    <t>CUST-0336</t>
  </si>
  <si>
    <t>2025-02-15</t>
  </si>
  <si>
    <t>CUST-0337</t>
  </si>
  <si>
    <t>2023-03-19</t>
  </si>
  <si>
    <t>CUST-0338</t>
  </si>
  <si>
    <t>CUST-0339</t>
  </si>
  <si>
    <t>2025-01-20</t>
  </si>
  <si>
    <t>CUST-0340</t>
  </si>
  <si>
    <t>2022-10-01</t>
  </si>
  <si>
    <t>CUST-0341</t>
  </si>
  <si>
    <t>2025-06-24</t>
  </si>
  <si>
    <t>CUST-0342</t>
  </si>
  <si>
    <t>2025-08-15</t>
  </si>
  <si>
    <t>CUST-0343</t>
  </si>
  <si>
    <t>2025-04-18</t>
  </si>
  <si>
    <t>CUST-0344</t>
  </si>
  <si>
    <t>2023-06-15</t>
  </si>
  <si>
    <t>CUST-0345</t>
  </si>
  <si>
    <t>CUST-0346</t>
  </si>
  <si>
    <t>CUST-0347</t>
  </si>
  <si>
    <t>CUST-0348</t>
  </si>
  <si>
    <t>CUST-0349</t>
  </si>
  <si>
    <t>CUST-0350</t>
  </si>
  <si>
    <t>2022-10-03</t>
  </si>
  <si>
    <t>CUST-0351</t>
  </si>
  <si>
    <t>CUST-0352</t>
  </si>
  <si>
    <t>2024-05-11</t>
  </si>
  <si>
    <t>CUST-0353</t>
  </si>
  <si>
    <t>2025-05-16</t>
  </si>
  <si>
    <t>CUST-0354</t>
  </si>
  <si>
    <t>2024-12-29</t>
  </si>
  <si>
    <t>CUST-0355</t>
  </si>
  <si>
    <t>CUST-0356</t>
  </si>
  <si>
    <t>2022-11-05</t>
  </si>
  <si>
    <t>CUST-0357</t>
  </si>
  <si>
    <t>2023-06-03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</si>
  <si>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</si>
  <si>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</si>
  <si>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</si>
  <si>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</si>
  <si>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</si>
  <si>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</si>
  <si>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</si>
  <si>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</si>
  <si>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2024-06-07</t>
  </si>
  <si>
    <t>CUST-0366</t>
  </si>
  <si>
    <t>CUST-0367</t>
  </si>
  <si>
    <t>CUST-0368</t>
  </si>
  <si>
    <t>CUST-0369</t>
  </si>
  <si>
    <t>2025-04-28</t>
  </si>
  <si>
    <t>CUST-0370</t>
  </si>
  <si>
    <t>CUST-0371</t>
  </si>
  <si>
    <t>2024-04-17</t>
  </si>
  <si>
    <t>CUST-0372</t>
  </si>
  <si>
    <t>2025-10-14</t>
  </si>
  <si>
    <t>CUST-0373</t>
  </si>
  <si>
    <t>CUST-0374</t>
  </si>
  <si>
    <t>2022-04-08</t>
  </si>
  <si>
    <t>CUST-0375</t>
  </si>
  <si>
    <t>2023-01-05</t>
  </si>
  <si>
    <t>CUST-0376</t>
  </si>
  <si>
    <t>2024-06-16</t>
  </si>
  <si>
    <t>CUST-0377</t>
  </si>
  <si>
    <t>2023-12-09</t>
  </si>
  <si>
    <t>CUST-0378</t>
  </si>
  <si>
    <t>2023-11-07</t>
  </si>
  <si>
    <t>CUST-0379</t>
  </si>
  <si>
    <t>2023-08-24</t>
  </si>
  <si>
    <t>CUST-0380</t>
  </si>
  <si>
    <t>CUST-0381</t>
  </si>
  <si>
    <t>CUST-0382</t>
  </si>
  <si>
    <t>2025-09-22</t>
  </si>
  <si>
    <t>CUST-0383</t>
  </si>
  <si>
    <t>CUST-0384</t>
  </si>
  <si>
    <t>CUST-0385</t>
  </si>
  <si>
    <t>2023-09-30</t>
  </si>
  <si>
    <t>CUST-0386</t>
  </si>
  <si>
    <t>2025-12-13</t>
  </si>
  <si>
    <t>CUST-0387</t>
  </si>
  <si>
    <t>2023-12-10</t>
  </si>
  <si>
    <t>CUST-0388</t>
  </si>
  <si>
    <t>CUST-0389</t>
  </si>
  <si>
    <t>CUST-0390</t>
  </si>
  <si>
    <t>2024-07-27</t>
  </si>
  <si>
    <t>CUST-0391</t>
  </si>
  <si>
    <t>2024-06-10</t>
  </si>
  <si>
    <t>CUST-0392</t>
  </si>
  <si>
    <t>2024-05-06</t>
  </si>
  <si>
    <t>CUST-0393</t>
  </si>
  <si>
    <t>CUST-0394</t>
  </si>
  <si>
    <t>CUST-0395</t>
  </si>
  <si>
    <t>CUST-0396</t>
  </si>
  <si>
    <t>CUST-0397</t>
  </si>
  <si>
    <t>CUST-0398</t>
  </si>
  <si>
    <t>2023-05-22</t>
  </si>
  <si>
    <t>CUST-0399</t>
  </si>
  <si>
    <t>2025-11-23</t>
  </si>
  <si>
    <t>CUST-0400</t>
  </si>
  <si>
    <t>CUST-0401</t>
  </si>
  <si>
    <t>CUST-0402</t>
  </si>
  <si>
    <t>2024-08-24</t>
  </si>
  <si>
    <t>CUST-0403</t>
  </si>
  <si>
    <t>CUST-0404</t>
  </si>
  <si>
    <t>CUST-0405</t>
  </si>
  <si>
    <t>CUST-0406</t>
  </si>
  <si>
    <t>2025-09-29</t>
  </si>
  <si>
    <t>CUST-0407</t>
  </si>
  <si>
    <t>2023-04-03</t>
  </si>
  <si>
    <t>CUST-0408</t>
  </si>
  <si>
    <t>CUST-0409</t>
  </si>
  <si>
    <t>CUST-0410</t>
  </si>
  <si>
    <t>2023-06-19</t>
  </si>
  <si>
    <t>CUST-0411</t>
  </si>
  <si>
    <t>2025-10-02</t>
  </si>
  <si>
    <t>CUST-0412</t>
  </si>
  <si>
    <t>2023-05-25</t>
  </si>
  <si>
    <t>CUST-0413</t>
  </si>
  <si>
    <t>CUST-0414</t>
  </si>
  <si>
    <t>2024-08-12</t>
  </si>
  <si>
    <t>CUST-0415</t>
  </si>
  <si>
    <t>2024-10-15</t>
  </si>
  <si>
    <t>CUST-0416</t>
  </si>
  <si>
    <t>2025-05-18</t>
  </si>
  <si>
    <t>CUST-0417</t>
  </si>
  <si>
    <t>2024-10-30</t>
  </si>
  <si>
    <t>CUST-0418</t>
  </si>
  <si>
    <t>2023-07-03</t>
  </si>
  <si>
    <t>CUST-0419</t>
  </si>
  <si>
    <t>CUST-0420</t>
  </si>
  <si>
    <t>2024-02-27</t>
  </si>
  <si>
    <t>CUST-0421</t>
  </si>
  <si>
    <t>2023-01-27</t>
  </si>
  <si>
    <t>CUST-0422</t>
  </si>
  <si>
    <t>CUST-0423</t>
  </si>
  <si>
    <t>2024-06-25</t>
  </si>
  <si>
    <t>CUST-0424</t>
  </si>
  <si>
    <t>2024-08-21</t>
  </si>
  <si>
    <t>CUST-0425</t>
  </si>
  <si>
    <t>2025-07-31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</si>
  <si>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</si>
  <si>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</si>
  <si>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</si>
  <si>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</si>
  <si>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</si>
  <si>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</si>
  <si>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</si>
  <si>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</si>
  <si>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2024-02-25</t>
  </si>
  <si>
    <t>CUST-0434</t>
  </si>
  <si>
    <t>2024-12-05</t>
  </si>
  <si>
    <t>CUST-0435</t>
  </si>
  <si>
    <t>2023-08-27</t>
  </si>
  <si>
    <t>CUST-0436</t>
  </si>
  <si>
    <t>2024-11-04</t>
  </si>
  <si>
    <t>CUST-0437</t>
  </si>
  <si>
    <t>2023-06-09</t>
  </si>
  <si>
    <t>CUST-0438</t>
  </si>
  <si>
    <t>2024-11-03</t>
  </si>
  <si>
    <t>CUST-0439</t>
  </si>
  <si>
    <t>2025-07-18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</si>
  <si>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</si>
  <si>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</si>
  <si>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</si>
  <si>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</si>
  <si>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</si>
  <si>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</si>
  <si>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</si>
  <si>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</si>
  <si>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</si>
  <si>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</si>
  <si>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2024-03-09</t>
  </si>
  <si>
    <t>CUST-0450</t>
  </si>
  <si>
    <t>CUST-0451</t>
  </si>
  <si>
    <t>CUST-0452</t>
  </si>
  <si>
    <t>CUST-0453</t>
  </si>
  <si>
    <t>2023-10-21</t>
  </si>
  <si>
    <t>CUST-0454</t>
  </si>
  <si>
    <t>2025-11-27</t>
  </si>
  <si>
    <t>CUST-0455</t>
  </si>
  <si>
    <t>CUST-0456</t>
  </si>
  <si>
    <t>CUST-0457</t>
  </si>
  <si>
    <t>CUST-0458</t>
  </si>
  <si>
    <t>CUST-0459</t>
  </si>
  <si>
    <t>2023-11-02</t>
  </si>
  <si>
    <t>CUST-0460</t>
  </si>
  <si>
    <t>CUST-0461</t>
  </si>
  <si>
    <t>CUST-0462</t>
  </si>
  <si>
    <t>CUST-0463</t>
  </si>
  <si>
    <t>2022-10-08</t>
  </si>
  <si>
    <t>CUST-0464</t>
  </si>
  <si>
    <t>CUST-0465</t>
  </si>
  <si>
    <t>CUST-0466</t>
  </si>
  <si>
    <t>CUST-0467</t>
  </si>
  <si>
    <t>CUST-0468</t>
  </si>
  <si>
    <t>CUST-0469</t>
  </si>
  <si>
    <t>CUST-0470</t>
  </si>
  <si>
    <t>2025-04-09</t>
  </si>
  <si>
    <t>CUST-0471</t>
  </si>
  <si>
    <t>2025-06-03</t>
  </si>
  <si>
    <t>CUST-0472</t>
  </si>
  <si>
    <t>2022-12-25</t>
  </si>
  <si>
    <t>CUST-0473</t>
  </si>
  <si>
    <t>CUST-0474</t>
  </si>
  <si>
    <t>2023-02-07</t>
  </si>
  <si>
    <t>CUST-0475</t>
  </si>
  <si>
    <t>CUST-0476</t>
  </si>
  <si>
    <t>CUST-0477</t>
  </si>
  <si>
    <t>CUST-0478</t>
  </si>
  <si>
    <t>2024-06-28</t>
  </si>
  <si>
    <t>CUST-0479</t>
  </si>
  <si>
    <t>2025-03-21</t>
  </si>
  <si>
    <t>CUST-0480</t>
  </si>
  <si>
    <t>2023-02-16</t>
  </si>
  <si>
    <t>CUST-0481</t>
  </si>
  <si>
    <t>CUST-0482</t>
  </si>
  <si>
    <t>CUST-0483</t>
  </si>
  <si>
    <t>CUST-0484</t>
  </si>
  <si>
    <t>2023-06-18</t>
  </si>
  <si>
    <t>CUST-0485</t>
  </si>
  <si>
    <t>2025-03-29</t>
  </si>
  <si>
    <t>CUST-0486</t>
  </si>
  <si>
    <t>CUST-0487</t>
  </si>
  <si>
    <t>2025-10-03</t>
  </si>
  <si>
    <t>CUST-0488</t>
  </si>
  <si>
    <t>CUST-0489</t>
  </si>
  <si>
    <t>2025-05-02</t>
  </si>
  <si>
    <t>CUST-0490</t>
  </si>
  <si>
    <t>CUST-0491</t>
  </si>
  <si>
    <t>CUST-0492</t>
  </si>
  <si>
    <t>2025-03-31</t>
  </si>
  <si>
    <t>CUST-0493</t>
  </si>
  <si>
    <t>CUST-0494</t>
  </si>
  <si>
    <t>2025-09-19</t>
  </si>
  <si>
    <t>CUST-0495</t>
  </si>
  <si>
    <t>CUST-0496</t>
  </si>
  <si>
    <t>CUST-0497</t>
  </si>
  <si>
    <t>CUST-0498</t>
  </si>
  <si>
    <t>CUST-0499</t>
  </si>
  <si>
    <t>CUST-0500</t>
  </si>
  <si>
    <t>CUST-0501</t>
  </si>
  <si>
    <t>2024-01-28</t>
  </si>
  <si>
    <t>CUST-0502</t>
  </si>
  <si>
    <t>CUST-0503</t>
  </si>
  <si>
    <t>CUST-0504</t>
  </si>
  <si>
    <t>2025-05-08</t>
  </si>
  <si>
    <t>CUST-0505</t>
  </si>
  <si>
    <t>2023-08-04</t>
  </si>
  <si>
    <t>CUST-0506</t>
  </si>
  <si>
    <t>2025-08-25</t>
  </si>
  <si>
    <t>CUST-0507</t>
  </si>
  <si>
    <t>CUST-0508</t>
  </si>
  <si>
    <t>2022-11-09</t>
  </si>
  <si>
    <t>CUST-0509</t>
  </si>
  <si>
    <t>2023-07-04</t>
  </si>
  <si>
    <t>CUST-0510</t>
  </si>
  <si>
    <t>2025-04-07</t>
  </si>
  <si>
    <t>CUST-0511</t>
  </si>
  <si>
    <t>CUST-0512</t>
  </si>
  <si>
    <t>2023-06-08</t>
  </si>
  <si>
    <t>CUST-0513</t>
  </si>
  <si>
    <t>2024-02-01</t>
  </si>
  <si>
    <t>CUST-0514</t>
  </si>
  <si>
    <t>2024-06-19</t>
  </si>
  <si>
    <t>CUST-0515</t>
  </si>
  <si>
    <t>CUST-0516</t>
  </si>
  <si>
    <t>CUST-0517</t>
  </si>
  <si>
    <t>2024-10-14</t>
  </si>
  <si>
    <t>CUST-0518</t>
  </si>
  <si>
    <t>CUST-0519</t>
  </si>
  <si>
    <t>CUST-0520</t>
  </si>
  <si>
    <t>2024-04-30</t>
  </si>
  <si>
    <t>CUST-0521</t>
  </si>
  <si>
    <t>2025-05-10</t>
  </si>
  <si>
    <t>CUST-0522</t>
  </si>
  <si>
    <t>CUST-0523</t>
  </si>
  <si>
    <t>2025-04-26</t>
  </si>
  <si>
    <t>CUST-0524</t>
  </si>
  <si>
    <t>CUST-0525</t>
  </si>
  <si>
    <t>CUST-0526</t>
  </si>
  <si>
    <t>2023-06-24</t>
  </si>
  <si>
    <t>CUST-0527</t>
  </si>
  <si>
    <t>CUST-0528</t>
  </si>
  <si>
    <t>2025-08-02</t>
  </si>
  <si>
    <t>CUST-0529</t>
  </si>
  <si>
    <t>CUST-0530</t>
  </si>
  <si>
    <t>CUST-0531</t>
  </si>
  <si>
    <t>CUST-0532</t>
  </si>
  <si>
    <t>CUST-0533</t>
  </si>
  <si>
    <t>CUST-0534</t>
  </si>
  <si>
    <t>2023-07-27</t>
  </si>
  <si>
    <t>CUST-0535</t>
  </si>
  <si>
    <t>CUST-0536</t>
  </si>
  <si>
    <t>2022-11-06</t>
  </si>
  <si>
    <t>CUST-0537</t>
  </si>
  <si>
    <t>CUST-0538</t>
  </si>
  <si>
    <t>2025-08-08</t>
  </si>
  <si>
    <t>CUST-0539</t>
  </si>
  <si>
    <t>CUST-0540</t>
  </si>
  <si>
    <t>CUST-0541</t>
  </si>
  <si>
    <t>2024-11-10</t>
  </si>
  <si>
    <t>CUST-0542</t>
  </si>
  <si>
    <t>CUST-0543</t>
  </si>
  <si>
    <t>CUST-0544</t>
  </si>
  <si>
    <t>CUST-0545</t>
  </si>
  <si>
    <t>2022-12-14</t>
  </si>
  <si>
    <t>CUST-0546</t>
  </si>
  <si>
    <t>2024-04-25</t>
  </si>
  <si>
    <t>CUST-0547</t>
  </si>
  <si>
    <t>2025-02-18</t>
  </si>
  <si>
    <t>CUST-0548</t>
  </si>
  <si>
    <t>CUST-0549</t>
  </si>
  <si>
    <t>2022-04-05</t>
  </si>
  <si>
    <t>CUST-0550</t>
  </si>
  <si>
    <t>2024-09-02</t>
  </si>
  <si>
    <t>CUST-0551</t>
  </si>
  <si>
    <t>CUST-0552</t>
  </si>
  <si>
    <t>CUST-0553</t>
  </si>
  <si>
    <t>CUST-0554</t>
  </si>
  <si>
    <t>2022-09-10</t>
  </si>
  <si>
    <t>CUST-0555</t>
  </si>
  <si>
    <t>CUST-0556</t>
  </si>
  <si>
    <t>2025-07-28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</si>
  <si>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</si>
  <si>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</si>
  <si>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</si>
  <si>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</si>
  <si>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</si>
  <si>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</si>
  <si>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</si>
  <si>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</si>
  <si>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</si>
  <si>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2025-11-02</t>
  </si>
  <si>
    <t>CUST-0566</t>
  </si>
  <si>
    <t>2022-09-23</t>
  </si>
  <si>
    <t>CUST-0567</t>
  </si>
  <si>
    <t>2024-08-18</t>
  </si>
  <si>
    <t>CUST-0568</t>
  </si>
  <si>
    <t>CUST-0569</t>
  </si>
  <si>
    <t>CUST-0570</t>
  </si>
  <si>
    <t>CUST-0571</t>
  </si>
  <si>
    <t>2022-02-14</t>
  </si>
  <si>
    <t>CUST-0572</t>
  </si>
  <si>
    <t>2023-08-16</t>
  </si>
  <si>
    <t>CUST-0573</t>
  </si>
  <si>
    <t>CUST-0574</t>
  </si>
  <si>
    <t>CUST-0575</t>
  </si>
  <si>
    <t>CUST-0576</t>
  </si>
  <si>
    <t>2024-06-14</t>
  </si>
  <si>
    <t>CUST-0577</t>
  </si>
  <si>
    <t>2023-08-30</t>
  </si>
  <si>
    <t>CUST-0578</t>
  </si>
  <si>
    <t>CUST-0579</t>
  </si>
  <si>
    <t>CUST-0580</t>
  </si>
  <si>
    <t>2024-09-30</t>
  </si>
  <si>
    <t>CUST-0581</t>
  </si>
  <si>
    <t>CUST-0582</t>
  </si>
  <si>
    <t>2025-07-16</t>
  </si>
  <si>
    <t>CUST-0583</t>
  </si>
  <si>
    <t>2025-06-19</t>
  </si>
  <si>
    <t>CUST-0584</t>
  </si>
  <si>
    <t>CUST-0585</t>
  </si>
  <si>
    <t>CUST-0586</t>
  </si>
  <si>
    <t>CUST-0587</t>
  </si>
  <si>
    <t>CUST-0588</t>
  </si>
  <si>
    <t>2025-07-19</t>
  </si>
  <si>
    <t>CUST-0589</t>
  </si>
  <si>
    <t>2024-07-08</t>
  </si>
  <si>
    <t>CUST-0590</t>
  </si>
  <si>
    <t>CUST-0591</t>
  </si>
  <si>
    <t>CUST-0592</t>
  </si>
  <si>
    <t>2024-02-13</t>
  </si>
  <si>
    <t>CUST-0593</t>
  </si>
  <si>
    <t>CUST-0594</t>
  </si>
  <si>
    <t>2023-04-10</t>
  </si>
  <si>
    <t>CUST-0595</t>
  </si>
  <si>
    <t>2024-11-14</t>
  </si>
  <si>
    <t>CUST-0596</t>
  </si>
  <si>
    <t>CUST-0597</t>
  </si>
  <si>
    <t>CUST-0598</t>
  </si>
  <si>
    <t>CUST-0599</t>
  </si>
  <si>
    <t>CUST-0600</t>
  </si>
  <si>
    <t>Churn_Flag</t>
  </si>
  <si>
    <t>Low_Usage_Flag</t>
  </si>
  <si>
    <t>Low_NPS_Flag</t>
  </si>
  <si>
    <t>High_Support_Flag</t>
  </si>
  <si>
    <t>Risk_Score</t>
  </si>
  <si>
    <t>Risk_Level</t>
  </si>
  <si>
    <t>total_active_customers</t>
  </si>
  <si>
    <t>new_customers</t>
  </si>
  <si>
    <t>churned_customers</t>
  </si>
  <si>
    <t>monthly_churn_rate_pct</t>
  </si>
  <si>
    <t>total_mrr</t>
  </si>
  <si>
    <t>avg_revenue_per_customer</t>
  </si>
  <si>
    <t>customer_acquisition_cost</t>
  </si>
  <si>
    <t>month</t>
  </si>
  <si>
    <t>Net_Customer_Change</t>
  </si>
  <si>
    <t>Estimated_New_MRR</t>
  </si>
  <si>
    <t>Estimated_Churned_MRR</t>
  </si>
  <si>
    <t>Estimated_Net_MRR_Change</t>
  </si>
  <si>
    <t>Row Labels</t>
  </si>
  <si>
    <t>Grand Total</t>
  </si>
  <si>
    <t>Average of Churn_Flag</t>
  </si>
  <si>
    <t>Churn_Rate</t>
  </si>
  <si>
    <t>High Risk</t>
  </si>
  <si>
    <t>Medium Risk</t>
  </si>
  <si>
    <t>Low Risk</t>
  </si>
  <si>
    <t>Count of customer_id</t>
  </si>
  <si>
    <t>Sum of monthly_revenue</t>
  </si>
  <si>
    <t>Sum of total_mrr</t>
  </si>
  <si>
    <t>CloudTask Pro — Revenue &amp; Churn Executive Summary</t>
  </si>
  <si>
    <t>SaaS performance, retention, unit economics and customer risk analysis | 2022–2025</t>
  </si>
  <si>
    <t>Overall Churn</t>
  </si>
  <si>
    <t>Latest MRR</t>
  </si>
  <si>
    <t>High-Risk Customers</t>
  </si>
  <si>
    <t>High-Risk MRR</t>
  </si>
  <si>
    <t>Average CAC</t>
  </si>
  <si>
    <t>Sum of monthly_churn_rate_pct</t>
  </si>
  <si>
    <t>Key Findings</t>
  </si>
  <si>
    <t>Recommended Actions</t>
  </si>
  <si>
    <t>• Prioritize retention outreach to High-Risk Business and Enterprise accounts because they represent the largest revenue exposure.
• Review the Starter plan pricing/value proposition, especially for monthly customers.
• Introduce proactive engagement for customers with feature usage below 50%.
Escalate accounts with low NPS and high support-ticket volume to customer-success teams.</t>
  </si>
  <si>
    <t>• Starter churn is 70.51%, vs. 22.00% for Enterprise.
• Monthly-billed customers churn substantially more than annual customers: 60.51% vs. 40.32%.
• Average monthly churn improved from 6.81% in 2022 to approximately 3.6% by 2024–2025.
• 93 active customers, representing 32.40% of the current customer base, are classified as High Risk.
• £82.2K MRR is tied to High-Risk accounts, concentrated in Business and Enterprise.
• Feature usage below 50%, NPS ≤ 6, and 11+ annual support tickets were the strongest rule-based warning indicators.</t>
  </si>
  <si>
    <r>
      <rPr>
        <b/>
        <sz val="14"/>
        <color theme="1"/>
        <rFont val="Aptos Narrow"/>
        <family val="2"/>
        <scheme val="minor"/>
      </rPr>
      <t>Risk model:</t>
    </r>
    <r>
      <rPr>
        <sz val="14"/>
        <color theme="1"/>
        <rFont val="Aptos Narrow"/>
        <family val="2"/>
        <scheme val="minor"/>
      </rPr>
      <t xml:space="preserve"> +1 for feature usage &lt;50%, NPS ≤6, and 11+ support tickets. Customers scoring 2–3 are classified as High Risk.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</si>
</sst>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0.0,&quot;K&quot;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1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164" fontId="1" fillId="2" borderId="2" xfId="0" applyNumberFormat="1" applyFont="1" applyFill="1" applyBorder="1"/>
    <xf numFmtId="14" fontId="0" fillId="0" borderId="0" xfId="0" applyNumberFormat="1" applyAlignment="1">
      <alignment horizontal="left"/>
    </xf>
    <xf numFmtId="0" fontId="0" fillId="0" borderId="12" xfId="0" applyBorder="1"/>
    <xf numFmtId="0" fontId="5" fillId="5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/>
    </xf>
    <xf numFmtId="0" fontId="5" fillId="5" borderId="3" xfId="0" applyFont="1" applyFill="1" applyBorder="1" applyAlignment="1">
      <alignment horizontal="center" vertical="center" wrapText="1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165" fontId="4" fillId="3" borderId="13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Churn Rate by Subscription Plan</a:t>
            </a:r>
            <a:endParaRPr lang="en-US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Pivot_Analysis!$A$2:$A$6</c:f>
              <c:strCache>
                <c:ptCount val="4"/>
                <c:pt idx="0">
                  <c:v>Starter</c:v>
                </c:pt>
                <c:pt idx="1">
                  <c:v>Professional</c:v>
                </c:pt>
                <c:pt idx="2">
                  <c:v>Business</c:v>
                </c:pt>
                <c:pt idx="3">
                  <c:v>Enterprise</c:v>
                </c:pt>
              </c:strCache>
            </c:strRef>
          </c:cat>
          <c:val>
            <c:numRef>
              <c:f>Pivot_Analysis!$B$2:$B$6</c:f>
              <c:numCache>
                <c:formatCode>0.00%</c:formatCode>
                <c:ptCount val="4"/>
                <c:pt idx="0">
                  <c:v>0.70506912442396308</c:v>
                </c:pt>
                <c:pt idx="1">
                  <c:v>0.47976878612716761</c:v>
                </c:pt>
                <c:pt idx="2">
                  <c:v>0.41249999999999998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3-4815-B9EC-0BE52AB59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769840"/>
        <c:axId val="1244923888"/>
      </c:barChart>
      <c:catAx>
        <c:axId val="14697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23888"/>
        <c:crosses val="autoZero"/>
        <c:auto val="1"/>
        <c:lblAlgn val="ctr"/>
        <c:lblOffset val="100"/>
        <c:noMultiLvlLbl val="0"/>
      </c:catAx>
      <c:valAx>
        <c:axId val="12449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Active Customers by Risk Level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Pivot_Analysis!$G$13:$G$16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Pivot_Analysis!$H$13:$H$16</c:f>
              <c:numCache>
                <c:formatCode>General</c:formatCode>
                <c:ptCount val="3"/>
                <c:pt idx="0">
                  <c:v>93</c:v>
                </c:pt>
                <c:pt idx="1">
                  <c:v>62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F-4719-8B76-125AEF4CDC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69841296"/>
        <c:axId val="1244946448"/>
      </c:barChart>
      <c:catAx>
        <c:axId val="1469841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46448"/>
        <c:crosses val="autoZero"/>
        <c:auto val="1"/>
        <c:lblAlgn val="ctr"/>
        <c:lblOffset val="100"/>
        <c:noMultiLvlLbl val="0"/>
      </c:catAx>
      <c:valAx>
        <c:axId val="12449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84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MRR by Customer Risk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02537182852144"/>
          <c:y val="0.19486111111111112"/>
          <c:w val="0.85230796150481192"/>
          <c:h val="0.615354695246427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Pivot_Analysis!$L$2</c:f>
              <c:strCache>
                <c:ptCount val="1"/>
                <c:pt idx="0">
                  <c:v>Sum of monthly_revenue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Pivot_Analysis!$J$3:$J$6</c:f>
              <c:strCache>
                <c:ptCount val="4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  <c:pt idx="3">
                  <c:v>Grand Total</c:v>
                </c:pt>
              </c:strCache>
            </c:strRef>
          </c:cat>
          <c:val>
            <c:numRef>
              <c:f>Pivot_Analysis!$L$3:$L$6</c:f>
              <c:numCache>
                <c:formatCode>"£"#,##0.00</c:formatCode>
                <c:ptCount val="4"/>
                <c:pt idx="0">
                  <c:v>82239</c:v>
                </c:pt>
                <c:pt idx="1">
                  <c:v>82117</c:v>
                </c:pt>
                <c:pt idx="2">
                  <c:v>131063</c:v>
                </c:pt>
                <c:pt idx="3">
                  <c:v>295419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7-4709-83A0-3A00268DBD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9790720"/>
        <c:axId val="20423547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Pivot_Analysis!$K$2</c15:sqref>
                        </c15:formulaRef>
                      </c:ext>
                    </c:extLst>
                    <c:strCache>
                      <c:ptCount val="1"/>
                      <c:pt idx="0">
                        <c:v>Count of customer_id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Pivot_Analysis!$J$3:$J$6</c15:sqref>
                        </c15:formulaRef>
                      </c:ext>
                    </c:extLst>
                    <c:strCache>
                      <c:ptCount val="4"/>
                      <c:pt idx="0">
                        <c:v>High Risk</c:v>
                      </c:pt>
                      <c:pt idx="1">
                        <c:v>Low Risk</c:v>
                      </c:pt>
                      <c:pt idx="2">
                        <c:v>Medium Risk</c:v>
                      </c:pt>
                      <c:pt idx="3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Pivot_Analysis!$K$3:$K$6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93</c:v>
                      </c:pt>
                      <c:pt idx="1">
                        <c:v>62</c:v>
                      </c:pt>
                      <c:pt idx="2">
                        <c:v>132</c:v>
                      </c:pt>
                      <c:pt idx="3">
                        <c:v>287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D37-4709-83A0-3A00268DBD8A}"/>
                  </c:ext>
                </c:extLst>
              </c15:ser>
            </c15:filteredBarSeries>
          </c:ext>
        </c:extLst>
      </c:barChart>
      <c:catAx>
        <c:axId val="146979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54704"/>
        <c:crosses val="autoZero"/>
        <c:auto val="1"/>
        <c:lblAlgn val="ctr"/>
        <c:lblOffset val="100"/>
        <c:noMultiLvlLbl val="0"/>
      </c:catAx>
      <c:valAx>
        <c:axId val="20423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Monthly Recurring Revenue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Pivot_Analysis!$F$25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Pivot_Analysis!$E$26:$E$74</c:f>
              <c:strCache>
                <c:ptCount val="48"/>
                <c:pt idx="0">
                  <c:v>01/01/2022</c:v>
                </c:pt>
                <c:pt idx="1">
                  <c:v>01/02/2022</c:v>
                </c:pt>
                <c:pt idx="2">
                  <c:v>01/03/2022</c:v>
                </c:pt>
                <c:pt idx="3">
                  <c:v>01/04/2022</c:v>
                </c:pt>
                <c:pt idx="4">
                  <c:v>01/05/2022</c:v>
                </c:pt>
                <c:pt idx="5">
                  <c:v>01/06/2022</c:v>
                </c:pt>
                <c:pt idx="6">
                  <c:v>01/07/2022</c:v>
                </c:pt>
                <c:pt idx="7">
                  <c:v>01/08/2022</c:v>
                </c:pt>
                <c:pt idx="8">
                  <c:v>01/09/2022</c:v>
                </c:pt>
                <c:pt idx="9">
                  <c:v>01/10/2022</c:v>
                </c:pt>
                <c:pt idx="10">
                  <c:v>01/11/2022</c:v>
                </c:pt>
                <c:pt idx="11">
                  <c:v>01/12/2022</c:v>
                </c:pt>
                <c:pt idx="12">
                  <c:v>01/01/2023</c:v>
                </c:pt>
                <c:pt idx="13">
                  <c:v>01/02/2023</c:v>
                </c:pt>
                <c:pt idx="14">
                  <c:v>01/03/2023</c:v>
                </c:pt>
                <c:pt idx="15">
                  <c:v>01/04/2023</c:v>
                </c:pt>
                <c:pt idx="16">
                  <c:v>01/05/2023</c:v>
                </c:pt>
                <c:pt idx="17">
                  <c:v>01/06/2023</c:v>
                </c:pt>
                <c:pt idx="18">
                  <c:v>01/07/2023</c:v>
                </c:pt>
                <c:pt idx="19">
                  <c:v>01/08/2023</c:v>
                </c:pt>
                <c:pt idx="20">
                  <c:v>01/09/2023</c:v>
                </c:pt>
                <c:pt idx="21">
                  <c:v>01/10/2023</c:v>
                </c:pt>
                <c:pt idx="22">
                  <c:v>01/11/2023</c:v>
                </c:pt>
                <c:pt idx="23">
                  <c:v>01/12/2023</c:v>
                </c:pt>
                <c:pt idx="24">
                  <c:v>01/01/2024</c:v>
                </c:pt>
                <c:pt idx="25">
                  <c:v>01/02/2024</c:v>
                </c:pt>
                <c:pt idx="26">
                  <c:v>01/03/2024</c:v>
                </c:pt>
                <c:pt idx="27">
                  <c:v>01/04/2024</c:v>
                </c:pt>
                <c:pt idx="28">
                  <c:v>01/05/2024</c:v>
                </c:pt>
                <c:pt idx="29">
                  <c:v>01/06/2024</c:v>
                </c:pt>
                <c:pt idx="30">
                  <c:v>01/07/2024</c:v>
                </c:pt>
                <c:pt idx="31">
                  <c:v>01/08/2024</c:v>
                </c:pt>
                <c:pt idx="32">
                  <c:v>01/09/2024</c:v>
                </c:pt>
                <c:pt idx="33">
                  <c:v>01/10/2024</c:v>
                </c:pt>
                <c:pt idx="34">
                  <c:v>01/11/2024</c:v>
                </c:pt>
                <c:pt idx="35">
                  <c:v>01/12/2024</c:v>
                </c:pt>
                <c:pt idx="36">
                  <c:v>01/01/2025</c:v>
                </c:pt>
                <c:pt idx="37">
                  <c:v>01/02/2025</c:v>
                </c:pt>
                <c:pt idx="38">
                  <c:v>01/03/2025</c:v>
                </c:pt>
                <c:pt idx="39">
                  <c:v>01/04/2025</c:v>
                </c:pt>
                <c:pt idx="40">
                  <c:v>01/05/2025</c:v>
                </c:pt>
                <c:pt idx="41">
                  <c:v>01/06/2025</c:v>
                </c:pt>
                <c:pt idx="42">
                  <c:v>01/07/2025</c:v>
                </c:pt>
                <c:pt idx="43">
                  <c:v>01/08/2025</c:v>
                </c:pt>
                <c:pt idx="44">
                  <c:v>01/09/2025</c:v>
                </c:pt>
                <c:pt idx="45">
                  <c:v>01/10/2025</c:v>
                </c:pt>
                <c:pt idx="46">
                  <c:v>01/11/2025</c:v>
                </c:pt>
                <c:pt idx="47">
                  <c:v>01/12/2025</c:v>
                </c:pt>
              </c:strCache>
            </c:strRef>
          </c:cat>
          <c:val>
            <c:numRef>
              <c:f>Pivot_Analysis!$F$26:$F$74</c:f>
              <c:numCache>
                <c:formatCode>General</c:formatCode>
                <c:ptCount val="48"/>
                <c:pt idx="0">
                  <c:v>0</c:v>
                </c:pt>
                <c:pt idx="1">
                  <c:v>7333.07</c:v>
                </c:pt>
                <c:pt idx="2">
                  <c:v>12301.16</c:v>
                </c:pt>
                <c:pt idx="3">
                  <c:v>24798.76</c:v>
                </c:pt>
                <c:pt idx="4">
                  <c:v>29091.88</c:v>
                </c:pt>
                <c:pt idx="5">
                  <c:v>38919.93</c:v>
                </c:pt>
                <c:pt idx="6">
                  <c:v>45097.72</c:v>
                </c:pt>
                <c:pt idx="7">
                  <c:v>54140.41</c:v>
                </c:pt>
                <c:pt idx="8">
                  <c:v>65198</c:v>
                </c:pt>
                <c:pt idx="9">
                  <c:v>86824.16</c:v>
                </c:pt>
                <c:pt idx="10">
                  <c:v>93168.11</c:v>
                </c:pt>
                <c:pt idx="11">
                  <c:v>96100.66</c:v>
                </c:pt>
                <c:pt idx="12">
                  <c:v>104773.35</c:v>
                </c:pt>
                <c:pt idx="13">
                  <c:v>115539.13</c:v>
                </c:pt>
                <c:pt idx="14">
                  <c:v>125258.61</c:v>
                </c:pt>
                <c:pt idx="15">
                  <c:v>129471.28</c:v>
                </c:pt>
                <c:pt idx="16">
                  <c:v>142401.69</c:v>
                </c:pt>
                <c:pt idx="17">
                  <c:v>142966.32</c:v>
                </c:pt>
                <c:pt idx="18">
                  <c:v>147630.35999999999</c:v>
                </c:pt>
                <c:pt idx="19">
                  <c:v>158920.70000000001</c:v>
                </c:pt>
                <c:pt idx="20">
                  <c:v>162830.01999999999</c:v>
                </c:pt>
                <c:pt idx="21">
                  <c:v>170763.72</c:v>
                </c:pt>
                <c:pt idx="22">
                  <c:v>184058.29</c:v>
                </c:pt>
                <c:pt idx="23">
                  <c:v>189579.35</c:v>
                </c:pt>
                <c:pt idx="24">
                  <c:v>191783.54</c:v>
                </c:pt>
                <c:pt idx="25">
                  <c:v>192379.41</c:v>
                </c:pt>
                <c:pt idx="26">
                  <c:v>196219.33</c:v>
                </c:pt>
                <c:pt idx="27">
                  <c:v>200076.61</c:v>
                </c:pt>
                <c:pt idx="28">
                  <c:v>217117.58</c:v>
                </c:pt>
                <c:pt idx="29">
                  <c:v>215810.52</c:v>
                </c:pt>
                <c:pt idx="30">
                  <c:v>222303.35999999999</c:v>
                </c:pt>
                <c:pt idx="31">
                  <c:v>242222.62</c:v>
                </c:pt>
                <c:pt idx="32">
                  <c:v>234749.84</c:v>
                </c:pt>
                <c:pt idx="33">
                  <c:v>239344.73</c:v>
                </c:pt>
                <c:pt idx="34">
                  <c:v>253489.47</c:v>
                </c:pt>
                <c:pt idx="35">
                  <c:v>260856.24</c:v>
                </c:pt>
                <c:pt idx="36">
                  <c:v>266142.93</c:v>
                </c:pt>
                <c:pt idx="37">
                  <c:v>274162.53999999998</c:v>
                </c:pt>
                <c:pt idx="38">
                  <c:v>280928.08</c:v>
                </c:pt>
                <c:pt idx="39">
                  <c:v>287791.15000000002</c:v>
                </c:pt>
                <c:pt idx="40">
                  <c:v>287207.82</c:v>
                </c:pt>
                <c:pt idx="41">
                  <c:v>280683.13</c:v>
                </c:pt>
                <c:pt idx="42">
                  <c:v>287661.73</c:v>
                </c:pt>
                <c:pt idx="43">
                  <c:v>287743</c:v>
                </c:pt>
                <c:pt idx="44">
                  <c:v>290824.44</c:v>
                </c:pt>
                <c:pt idx="45">
                  <c:v>280089.15000000002</c:v>
                </c:pt>
                <c:pt idx="46">
                  <c:v>285261.36</c:v>
                </c:pt>
                <c:pt idx="47">
                  <c:v>292628.61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B-4E08-9DC3-A7248EC6A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841487"/>
        <c:axId val="898839567"/>
      </c:lineChart>
      <c:catAx>
        <c:axId val="8988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39567"/>
        <c:crosses val="autoZero"/>
        <c:auto val="1"/>
        <c:lblAlgn val="ctr"/>
        <c:lblOffset val="100"/>
        <c:noMultiLvlLbl val="0"/>
      </c:catAx>
      <c:valAx>
        <c:axId val="89883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4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Customer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Pivot_Analysis!$Q$7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Pivot_Analysis!$P$8:$P$56</c:f>
              <c:strCache>
                <c:ptCount val="48"/>
                <c:pt idx="0">
                  <c:v>01/01/2022</c:v>
                </c:pt>
                <c:pt idx="1">
                  <c:v>01/02/2022</c:v>
                </c:pt>
                <c:pt idx="2">
                  <c:v>01/03/2022</c:v>
                </c:pt>
                <c:pt idx="3">
                  <c:v>01/04/2022</c:v>
                </c:pt>
                <c:pt idx="4">
                  <c:v>01/05/2022</c:v>
                </c:pt>
                <c:pt idx="5">
                  <c:v>01/06/2022</c:v>
                </c:pt>
                <c:pt idx="6">
                  <c:v>01/07/2022</c:v>
                </c:pt>
                <c:pt idx="7">
                  <c:v>01/08/2022</c:v>
                </c:pt>
                <c:pt idx="8">
                  <c:v>01/09/2022</c:v>
                </c:pt>
                <c:pt idx="9">
                  <c:v>01/10/2022</c:v>
                </c:pt>
                <c:pt idx="10">
                  <c:v>01/11/2022</c:v>
                </c:pt>
                <c:pt idx="11">
                  <c:v>01/12/2022</c:v>
                </c:pt>
                <c:pt idx="12">
                  <c:v>01/01/2023</c:v>
                </c:pt>
                <c:pt idx="13">
                  <c:v>01/02/2023</c:v>
                </c:pt>
                <c:pt idx="14">
                  <c:v>01/03/2023</c:v>
                </c:pt>
                <c:pt idx="15">
                  <c:v>01/04/2023</c:v>
                </c:pt>
                <c:pt idx="16">
                  <c:v>01/05/2023</c:v>
                </c:pt>
                <c:pt idx="17">
                  <c:v>01/06/2023</c:v>
                </c:pt>
                <c:pt idx="18">
                  <c:v>01/07/2023</c:v>
                </c:pt>
                <c:pt idx="19">
                  <c:v>01/08/2023</c:v>
                </c:pt>
                <c:pt idx="20">
                  <c:v>01/09/2023</c:v>
                </c:pt>
                <c:pt idx="21">
                  <c:v>01/10/2023</c:v>
                </c:pt>
                <c:pt idx="22">
                  <c:v>01/11/2023</c:v>
                </c:pt>
                <c:pt idx="23">
                  <c:v>01/12/2023</c:v>
                </c:pt>
                <c:pt idx="24">
                  <c:v>01/01/2024</c:v>
                </c:pt>
                <c:pt idx="25">
                  <c:v>01/02/2024</c:v>
                </c:pt>
                <c:pt idx="26">
                  <c:v>01/03/2024</c:v>
                </c:pt>
                <c:pt idx="27">
                  <c:v>01/04/2024</c:v>
                </c:pt>
                <c:pt idx="28">
                  <c:v>01/05/2024</c:v>
                </c:pt>
                <c:pt idx="29">
                  <c:v>01/06/2024</c:v>
                </c:pt>
                <c:pt idx="30">
                  <c:v>01/07/2024</c:v>
                </c:pt>
                <c:pt idx="31">
                  <c:v>01/08/2024</c:v>
                </c:pt>
                <c:pt idx="32">
                  <c:v>01/09/2024</c:v>
                </c:pt>
                <c:pt idx="33">
                  <c:v>01/10/2024</c:v>
                </c:pt>
                <c:pt idx="34">
                  <c:v>01/11/2024</c:v>
                </c:pt>
                <c:pt idx="35">
                  <c:v>01/12/2024</c:v>
                </c:pt>
                <c:pt idx="36">
                  <c:v>01/01/2025</c:v>
                </c:pt>
                <c:pt idx="37">
                  <c:v>01/02/2025</c:v>
                </c:pt>
                <c:pt idx="38">
                  <c:v>01/03/2025</c:v>
                </c:pt>
                <c:pt idx="39">
                  <c:v>01/04/2025</c:v>
                </c:pt>
                <c:pt idx="40">
                  <c:v>01/05/2025</c:v>
                </c:pt>
                <c:pt idx="41">
                  <c:v>01/06/2025</c:v>
                </c:pt>
                <c:pt idx="42">
                  <c:v>01/07/2025</c:v>
                </c:pt>
                <c:pt idx="43">
                  <c:v>01/08/2025</c:v>
                </c:pt>
                <c:pt idx="44">
                  <c:v>01/09/2025</c:v>
                </c:pt>
                <c:pt idx="45">
                  <c:v>01/10/2025</c:v>
                </c:pt>
                <c:pt idx="46">
                  <c:v>01/11/2025</c:v>
                </c:pt>
                <c:pt idx="47">
                  <c:v>01/12/2025</c:v>
                </c:pt>
              </c:strCache>
            </c:strRef>
          </c:cat>
          <c:val>
            <c:numRef>
              <c:f>Pivot_Analysis!$Q$8:$Q$56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10.71</c:v>
                </c:pt>
                <c:pt idx="4">
                  <c:v>2.86</c:v>
                </c:pt>
                <c:pt idx="5">
                  <c:v>4.3499999999999996</c:v>
                </c:pt>
                <c:pt idx="6">
                  <c:v>11.32</c:v>
                </c:pt>
                <c:pt idx="7">
                  <c:v>10.53</c:v>
                </c:pt>
                <c:pt idx="8">
                  <c:v>7.46</c:v>
                </c:pt>
                <c:pt idx="9">
                  <c:v>6.58</c:v>
                </c:pt>
                <c:pt idx="10">
                  <c:v>5.75</c:v>
                </c:pt>
                <c:pt idx="11">
                  <c:v>2.11</c:v>
                </c:pt>
                <c:pt idx="12">
                  <c:v>3.74</c:v>
                </c:pt>
                <c:pt idx="13">
                  <c:v>2.61</c:v>
                </c:pt>
                <c:pt idx="14">
                  <c:v>1.63</c:v>
                </c:pt>
                <c:pt idx="15">
                  <c:v>6.4</c:v>
                </c:pt>
                <c:pt idx="16">
                  <c:v>3.01</c:v>
                </c:pt>
                <c:pt idx="17">
                  <c:v>7.14</c:v>
                </c:pt>
                <c:pt idx="18">
                  <c:v>4.83</c:v>
                </c:pt>
                <c:pt idx="19">
                  <c:v>4.46</c:v>
                </c:pt>
                <c:pt idx="20">
                  <c:v>4.38</c:v>
                </c:pt>
                <c:pt idx="21">
                  <c:v>2.94</c:v>
                </c:pt>
                <c:pt idx="22">
                  <c:v>4.42</c:v>
                </c:pt>
                <c:pt idx="23">
                  <c:v>3.83</c:v>
                </c:pt>
                <c:pt idx="24">
                  <c:v>3.76</c:v>
                </c:pt>
                <c:pt idx="25">
                  <c:v>4.26</c:v>
                </c:pt>
                <c:pt idx="26">
                  <c:v>2.12</c:v>
                </c:pt>
                <c:pt idx="27">
                  <c:v>3.94</c:v>
                </c:pt>
                <c:pt idx="28">
                  <c:v>3.88</c:v>
                </c:pt>
                <c:pt idx="29">
                  <c:v>4.2300000000000004</c:v>
                </c:pt>
                <c:pt idx="30">
                  <c:v>3.7</c:v>
                </c:pt>
                <c:pt idx="31">
                  <c:v>3.14</c:v>
                </c:pt>
                <c:pt idx="32">
                  <c:v>3.1</c:v>
                </c:pt>
                <c:pt idx="33">
                  <c:v>3</c:v>
                </c:pt>
                <c:pt idx="34">
                  <c:v>3.78</c:v>
                </c:pt>
                <c:pt idx="35">
                  <c:v>3.75</c:v>
                </c:pt>
                <c:pt idx="36">
                  <c:v>3.64</c:v>
                </c:pt>
                <c:pt idx="37">
                  <c:v>3.19</c:v>
                </c:pt>
                <c:pt idx="38">
                  <c:v>2.72</c:v>
                </c:pt>
                <c:pt idx="39">
                  <c:v>6.3</c:v>
                </c:pt>
                <c:pt idx="40">
                  <c:v>5.68</c:v>
                </c:pt>
                <c:pt idx="41">
                  <c:v>4.21</c:v>
                </c:pt>
                <c:pt idx="42">
                  <c:v>3.4</c:v>
                </c:pt>
                <c:pt idx="43">
                  <c:v>2.64</c:v>
                </c:pt>
                <c:pt idx="44">
                  <c:v>3.4</c:v>
                </c:pt>
                <c:pt idx="45">
                  <c:v>3.35</c:v>
                </c:pt>
                <c:pt idx="46">
                  <c:v>3.24</c:v>
                </c:pt>
                <c:pt idx="4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E-40B9-83B3-51F67D34F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586352"/>
        <c:axId val="1408587312"/>
      </c:lineChart>
      <c:catAx>
        <c:axId val="140858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87312"/>
        <c:crosses val="autoZero"/>
        <c:auto val="1"/>
        <c:lblAlgn val="ctr"/>
        <c:lblOffset val="100"/>
        <c:noMultiLvlLbl val="0"/>
      </c:catAx>
      <c:valAx>
        <c:axId val="14085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8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Monthly Recurring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Pivot_Analysis!$F$25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Pivot_Analysis!$E$26:$E$74</c:f>
              <c:strCache>
                <c:ptCount val="48"/>
                <c:pt idx="0">
                  <c:v>01/01/2022</c:v>
                </c:pt>
                <c:pt idx="1">
                  <c:v>01/02/2022</c:v>
                </c:pt>
                <c:pt idx="2">
                  <c:v>01/03/2022</c:v>
                </c:pt>
                <c:pt idx="3">
                  <c:v>01/04/2022</c:v>
                </c:pt>
                <c:pt idx="4">
                  <c:v>01/05/2022</c:v>
                </c:pt>
                <c:pt idx="5">
                  <c:v>01/06/2022</c:v>
                </c:pt>
                <c:pt idx="6">
                  <c:v>01/07/2022</c:v>
                </c:pt>
                <c:pt idx="7">
                  <c:v>01/08/2022</c:v>
                </c:pt>
                <c:pt idx="8">
                  <c:v>01/09/2022</c:v>
                </c:pt>
                <c:pt idx="9">
                  <c:v>01/10/2022</c:v>
                </c:pt>
                <c:pt idx="10">
                  <c:v>01/11/2022</c:v>
                </c:pt>
                <c:pt idx="11">
                  <c:v>01/12/2022</c:v>
                </c:pt>
                <c:pt idx="12">
                  <c:v>01/01/2023</c:v>
                </c:pt>
                <c:pt idx="13">
                  <c:v>01/02/2023</c:v>
                </c:pt>
                <c:pt idx="14">
                  <c:v>01/03/2023</c:v>
                </c:pt>
                <c:pt idx="15">
                  <c:v>01/04/2023</c:v>
                </c:pt>
                <c:pt idx="16">
                  <c:v>01/05/2023</c:v>
                </c:pt>
                <c:pt idx="17">
                  <c:v>01/06/2023</c:v>
                </c:pt>
                <c:pt idx="18">
                  <c:v>01/07/2023</c:v>
                </c:pt>
                <c:pt idx="19">
                  <c:v>01/08/2023</c:v>
                </c:pt>
                <c:pt idx="20">
                  <c:v>01/09/2023</c:v>
                </c:pt>
                <c:pt idx="21">
                  <c:v>01/10/2023</c:v>
                </c:pt>
                <c:pt idx="22">
                  <c:v>01/11/2023</c:v>
                </c:pt>
                <c:pt idx="23">
                  <c:v>01/12/2023</c:v>
                </c:pt>
                <c:pt idx="24">
                  <c:v>01/01/2024</c:v>
                </c:pt>
                <c:pt idx="25">
                  <c:v>01/02/2024</c:v>
                </c:pt>
                <c:pt idx="26">
                  <c:v>01/03/2024</c:v>
                </c:pt>
                <c:pt idx="27">
                  <c:v>01/04/2024</c:v>
                </c:pt>
                <c:pt idx="28">
                  <c:v>01/05/2024</c:v>
                </c:pt>
                <c:pt idx="29">
                  <c:v>01/06/2024</c:v>
                </c:pt>
                <c:pt idx="30">
                  <c:v>01/07/2024</c:v>
                </c:pt>
                <c:pt idx="31">
                  <c:v>01/08/2024</c:v>
                </c:pt>
                <c:pt idx="32">
                  <c:v>01/09/2024</c:v>
                </c:pt>
                <c:pt idx="33">
                  <c:v>01/10/2024</c:v>
                </c:pt>
                <c:pt idx="34">
                  <c:v>01/11/2024</c:v>
                </c:pt>
                <c:pt idx="35">
                  <c:v>01/12/2024</c:v>
                </c:pt>
                <c:pt idx="36">
                  <c:v>01/01/2025</c:v>
                </c:pt>
                <c:pt idx="37">
                  <c:v>01/02/2025</c:v>
                </c:pt>
                <c:pt idx="38">
                  <c:v>01/03/2025</c:v>
                </c:pt>
                <c:pt idx="39">
                  <c:v>01/04/2025</c:v>
                </c:pt>
                <c:pt idx="40">
                  <c:v>01/05/2025</c:v>
                </c:pt>
                <c:pt idx="41">
                  <c:v>01/06/2025</c:v>
                </c:pt>
                <c:pt idx="42">
                  <c:v>01/07/2025</c:v>
                </c:pt>
                <c:pt idx="43">
                  <c:v>01/08/2025</c:v>
                </c:pt>
                <c:pt idx="44">
                  <c:v>01/09/2025</c:v>
                </c:pt>
                <c:pt idx="45">
                  <c:v>01/10/2025</c:v>
                </c:pt>
                <c:pt idx="46">
                  <c:v>01/11/2025</c:v>
                </c:pt>
                <c:pt idx="47">
                  <c:v>01/12/2025</c:v>
                </c:pt>
              </c:strCache>
            </c:strRef>
          </c:cat>
          <c:val>
            <c:numRef>
              <c:f>Pivot_Analysis!$F$26:$F$74</c:f>
              <c:numCache>
                <c:formatCode>General</c:formatCode>
                <c:ptCount val="48"/>
                <c:pt idx="0">
                  <c:v>0</c:v>
                </c:pt>
                <c:pt idx="1">
                  <c:v>7333.07</c:v>
                </c:pt>
                <c:pt idx="2">
                  <c:v>12301.16</c:v>
                </c:pt>
                <c:pt idx="3">
                  <c:v>24798.76</c:v>
                </c:pt>
                <c:pt idx="4">
                  <c:v>29091.88</c:v>
                </c:pt>
                <c:pt idx="5">
                  <c:v>38919.93</c:v>
                </c:pt>
                <c:pt idx="6">
                  <c:v>45097.72</c:v>
                </c:pt>
                <c:pt idx="7">
                  <c:v>54140.41</c:v>
                </c:pt>
                <c:pt idx="8">
                  <c:v>65198</c:v>
                </c:pt>
                <c:pt idx="9">
                  <c:v>86824.16</c:v>
                </c:pt>
                <c:pt idx="10">
                  <c:v>93168.11</c:v>
                </c:pt>
                <c:pt idx="11">
                  <c:v>96100.66</c:v>
                </c:pt>
                <c:pt idx="12">
                  <c:v>104773.35</c:v>
                </c:pt>
                <c:pt idx="13">
                  <c:v>115539.13</c:v>
                </c:pt>
                <c:pt idx="14">
                  <c:v>125258.61</c:v>
                </c:pt>
                <c:pt idx="15">
                  <c:v>129471.28</c:v>
                </c:pt>
                <c:pt idx="16">
                  <c:v>142401.69</c:v>
                </c:pt>
                <c:pt idx="17">
                  <c:v>142966.32</c:v>
                </c:pt>
                <c:pt idx="18">
                  <c:v>147630.35999999999</c:v>
                </c:pt>
                <c:pt idx="19">
                  <c:v>158920.70000000001</c:v>
                </c:pt>
                <c:pt idx="20">
                  <c:v>162830.01999999999</c:v>
                </c:pt>
                <c:pt idx="21">
                  <c:v>170763.72</c:v>
                </c:pt>
                <c:pt idx="22">
                  <c:v>184058.29</c:v>
                </c:pt>
                <c:pt idx="23">
                  <c:v>189579.35</c:v>
                </c:pt>
                <c:pt idx="24">
                  <c:v>191783.54</c:v>
                </c:pt>
                <c:pt idx="25">
                  <c:v>192379.41</c:v>
                </c:pt>
                <c:pt idx="26">
                  <c:v>196219.33</c:v>
                </c:pt>
                <c:pt idx="27">
                  <c:v>200076.61</c:v>
                </c:pt>
                <c:pt idx="28">
                  <c:v>217117.58</c:v>
                </c:pt>
                <c:pt idx="29">
                  <c:v>215810.52</c:v>
                </c:pt>
                <c:pt idx="30">
                  <c:v>222303.35999999999</c:v>
                </c:pt>
                <c:pt idx="31">
                  <c:v>242222.62</c:v>
                </c:pt>
                <c:pt idx="32">
                  <c:v>234749.84</c:v>
                </c:pt>
                <c:pt idx="33">
                  <c:v>239344.73</c:v>
                </c:pt>
                <c:pt idx="34">
                  <c:v>253489.47</c:v>
                </c:pt>
                <c:pt idx="35">
                  <c:v>260856.24</c:v>
                </c:pt>
                <c:pt idx="36">
                  <c:v>266142.93</c:v>
                </c:pt>
                <c:pt idx="37">
                  <c:v>274162.53999999998</c:v>
                </c:pt>
                <c:pt idx="38">
                  <c:v>280928.08</c:v>
                </c:pt>
                <c:pt idx="39">
                  <c:v>287791.15000000002</c:v>
                </c:pt>
                <c:pt idx="40">
                  <c:v>287207.82</c:v>
                </c:pt>
                <c:pt idx="41">
                  <c:v>280683.13</c:v>
                </c:pt>
                <c:pt idx="42">
                  <c:v>287661.73</c:v>
                </c:pt>
                <c:pt idx="43">
                  <c:v>287743</c:v>
                </c:pt>
                <c:pt idx="44">
                  <c:v>290824.44</c:v>
                </c:pt>
                <c:pt idx="45">
                  <c:v>280089.15000000002</c:v>
                </c:pt>
                <c:pt idx="46">
                  <c:v>285261.36</c:v>
                </c:pt>
                <c:pt idx="47">
                  <c:v>292628.61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5-4536-A7E0-F6B4F66AD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841487"/>
        <c:axId val="898839567"/>
      </c:lineChart>
      <c:catAx>
        <c:axId val="8988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39567"/>
        <c:crosses val="autoZero"/>
        <c:auto val="1"/>
        <c:lblAlgn val="ctr"/>
        <c:lblOffset val="100"/>
        <c:tickLblSkip val="6"/>
        <c:noMultiLvlLbl val="0"/>
      </c:catAx>
      <c:valAx>
        <c:axId val="89883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4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Customer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Pivot_Analysis!$Q$7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Pivot_Analysis!$P$8:$P$56</c:f>
              <c:strCache>
                <c:ptCount val="48"/>
                <c:pt idx="0">
                  <c:v>01/01/2022</c:v>
                </c:pt>
                <c:pt idx="1">
                  <c:v>01/02/2022</c:v>
                </c:pt>
                <c:pt idx="2">
                  <c:v>01/03/2022</c:v>
                </c:pt>
                <c:pt idx="3">
                  <c:v>01/04/2022</c:v>
                </c:pt>
                <c:pt idx="4">
                  <c:v>01/05/2022</c:v>
                </c:pt>
                <c:pt idx="5">
                  <c:v>01/06/2022</c:v>
                </c:pt>
                <c:pt idx="6">
                  <c:v>01/07/2022</c:v>
                </c:pt>
                <c:pt idx="7">
                  <c:v>01/08/2022</c:v>
                </c:pt>
                <c:pt idx="8">
                  <c:v>01/09/2022</c:v>
                </c:pt>
                <c:pt idx="9">
                  <c:v>01/10/2022</c:v>
                </c:pt>
                <c:pt idx="10">
                  <c:v>01/11/2022</c:v>
                </c:pt>
                <c:pt idx="11">
                  <c:v>01/12/2022</c:v>
                </c:pt>
                <c:pt idx="12">
                  <c:v>01/01/2023</c:v>
                </c:pt>
                <c:pt idx="13">
                  <c:v>01/02/2023</c:v>
                </c:pt>
                <c:pt idx="14">
                  <c:v>01/03/2023</c:v>
                </c:pt>
                <c:pt idx="15">
                  <c:v>01/04/2023</c:v>
                </c:pt>
                <c:pt idx="16">
                  <c:v>01/05/2023</c:v>
                </c:pt>
                <c:pt idx="17">
                  <c:v>01/06/2023</c:v>
                </c:pt>
                <c:pt idx="18">
                  <c:v>01/07/2023</c:v>
                </c:pt>
                <c:pt idx="19">
                  <c:v>01/08/2023</c:v>
                </c:pt>
                <c:pt idx="20">
                  <c:v>01/09/2023</c:v>
                </c:pt>
                <c:pt idx="21">
                  <c:v>01/10/2023</c:v>
                </c:pt>
                <c:pt idx="22">
                  <c:v>01/11/2023</c:v>
                </c:pt>
                <c:pt idx="23">
                  <c:v>01/12/2023</c:v>
                </c:pt>
                <c:pt idx="24">
                  <c:v>01/01/2024</c:v>
                </c:pt>
                <c:pt idx="25">
                  <c:v>01/02/2024</c:v>
                </c:pt>
                <c:pt idx="26">
                  <c:v>01/03/2024</c:v>
                </c:pt>
                <c:pt idx="27">
                  <c:v>01/04/2024</c:v>
                </c:pt>
                <c:pt idx="28">
                  <c:v>01/05/2024</c:v>
                </c:pt>
                <c:pt idx="29">
                  <c:v>01/06/2024</c:v>
                </c:pt>
                <c:pt idx="30">
                  <c:v>01/07/2024</c:v>
                </c:pt>
                <c:pt idx="31">
                  <c:v>01/08/2024</c:v>
                </c:pt>
                <c:pt idx="32">
                  <c:v>01/09/2024</c:v>
                </c:pt>
                <c:pt idx="33">
                  <c:v>01/10/2024</c:v>
                </c:pt>
                <c:pt idx="34">
                  <c:v>01/11/2024</c:v>
                </c:pt>
                <c:pt idx="35">
                  <c:v>01/12/2024</c:v>
                </c:pt>
                <c:pt idx="36">
                  <c:v>01/01/2025</c:v>
                </c:pt>
                <c:pt idx="37">
                  <c:v>01/02/2025</c:v>
                </c:pt>
                <c:pt idx="38">
                  <c:v>01/03/2025</c:v>
                </c:pt>
                <c:pt idx="39">
                  <c:v>01/04/2025</c:v>
                </c:pt>
                <c:pt idx="40">
                  <c:v>01/05/2025</c:v>
                </c:pt>
                <c:pt idx="41">
                  <c:v>01/06/2025</c:v>
                </c:pt>
                <c:pt idx="42">
                  <c:v>01/07/2025</c:v>
                </c:pt>
                <c:pt idx="43">
                  <c:v>01/08/2025</c:v>
                </c:pt>
                <c:pt idx="44">
                  <c:v>01/09/2025</c:v>
                </c:pt>
                <c:pt idx="45">
                  <c:v>01/10/2025</c:v>
                </c:pt>
                <c:pt idx="46">
                  <c:v>01/11/2025</c:v>
                </c:pt>
                <c:pt idx="47">
                  <c:v>01/12/2025</c:v>
                </c:pt>
              </c:strCache>
            </c:strRef>
          </c:cat>
          <c:val>
            <c:numRef>
              <c:f>Pivot_Analysis!$Q$8:$Q$56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10.71</c:v>
                </c:pt>
                <c:pt idx="4">
                  <c:v>2.86</c:v>
                </c:pt>
                <c:pt idx="5">
                  <c:v>4.3499999999999996</c:v>
                </c:pt>
                <c:pt idx="6">
                  <c:v>11.32</c:v>
                </c:pt>
                <c:pt idx="7">
                  <c:v>10.53</c:v>
                </c:pt>
                <c:pt idx="8">
                  <c:v>7.46</c:v>
                </c:pt>
                <c:pt idx="9">
                  <c:v>6.58</c:v>
                </c:pt>
                <c:pt idx="10">
                  <c:v>5.75</c:v>
                </c:pt>
                <c:pt idx="11">
                  <c:v>2.11</c:v>
                </c:pt>
                <c:pt idx="12">
                  <c:v>3.74</c:v>
                </c:pt>
                <c:pt idx="13">
                  <c:v>2.61</c:v>
                </c:pt>
                <c:pt idx="14">
                  <c:v>1.63</c:v>
                </c:pt>
                <c:pt idx="15">
                  <c:v>6.4</c:v>
                </c:pt>
                <c:pt idx="16">
                  <c:v>3.01</c:v>
                </c:pt>
                <c:pt idx="17">
                  <c:v>7.14</c:v>
                </c:pt>
                <c:pt idx="18">
                  <c:v>4.83</c:v>
                </c:pt>
                <c:pt idx="19">
                  <c:v>4.46</c:v>
                </c:pt>
                <c:pt idx="20">
                  <c:v>4.38</c:v>
                </c:pt>
                <c:pt idx="21">
                  <c:v>2.94</c:v>
                </c:pt>
                <c:pt idx="22">
                  <c:v>4.42</c:v>
                </c:pt>
                <c:pt idx="23">
                  <c:v>3.83</c:v>
                </c:pt>
                <c:pt idx="24">
                  <c:v>3.76</c:v>
                </c:pt>
                <c:pt idx="25">
                  <c:v>4.26</c:v>
                </c:pt>
                <c:pt idx="26">
                  <c:v>2.12</c:v>
                </c:pt>
                <c:pt idx="27">
                  <c:v>3.94</c:v>
                </c:pt>
                <c:pt idx="28">
                  <c:v>3.88</c:v>
                </c:pt>
                <c:pt idx="29">
                  <c:v>4.2300000000000004</c:v>
                </c:pt>
                <c:pt idx="30">
                  <c:v>3.7</c:v>
                </c:pt>
                <c:pt idx="31">
                  <c:v>3.14</c:v>
                </c:pt>
                <c:pt idx="32">
                  <c:v>3.1</c:v>
                </c:pt>
                <c:pt idx="33">
                  <c:v>3</c:v>
                </c:pt>
                <c:pt idx="34">
                  <c:v>3.78</c:v>
                </c:pt>
                <c:pt idx="35">
                  <c:v>3.75</c:v>
                </c:pt>
                <c:pt idx="36">
                  <c:v>3.64</c:v>
                </c:pt>
                <c:pt idx="37">
                  <c:v>3.19</c:v>
                </c:pt>
                <c:pt idx="38">
                  <c:v>2.72</c:v>
                </c:pt>
                <c:pt idx="39">
                  <c:v>6.3</c:v>
                </c:pt>
                <c:pt idx="40">
                  <c:v>5.68</c:v>
                </c:pt>
                <c:pt idx="41">
                  <c:v>4.21</c:v>
                </c:pt>
                <c:pt idx="42">
                  <c:v>3.4</c:v>
                </c:pt>
                <c:pt idx="43">
                  <c:v>2.64</c:v>
                </c:pt>
                <c:pt idx="44">
                  <c:v>3.4</c:v>
                </c:pt>
                <c:pt idx="45">
                  <c:v>3.35</c:v>
                </c:pt>
                <c:pt idx="46">
                  <c:v>3.24</c:v>
                </c:pt>
                <c:pt idx="4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4-48F0-A174-E2BEF15FF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586352"/>
        <c:axId val="1408587312"/>
      </c:lineChart>
      <c:catAx>
        <c:axId val="140858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87312"/>
        <c:crosses val="autoZero"/>
        <c:auto val="1"/>
        <c:lblAlgn val="ctr"/>
        <c:lblOffset val="100"/>
        <c:noMultiLvlLbl val="0"/>
      </c:catAx>
      <c:valAx>
        <c:axId val="14085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8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Churn Rate by Subscription Plan</a:t>
            </a:r>
            <a:endParaRPr lang="en-US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Pivot_Analysis!$A$2:$A$6</c:f>
              <c:strCache>
                <c:ptCount val="4"/>
                <c:pt idx="0">
                  <c:v>Starter</c:v>
                </c:pt>
                <c:pt idx="1">
                  <c:v>Professional</c:v>
                </c:pt>
                <c:pt idx="2">
                  <c:v>Business</c:v>
                </c:pt>
                <c:pt idx="3">
                  <c:v>Enterprise</c:v>
                </c:pt>
              </c:strCache>
            </c:strRef>
          </c:cat>
          <c:val>
            <c:numRef>
              <c:f>Pivot_Analysis!$B$2:$B$6</c:f>
              <c:numCache>
                <c:formatCode>0.00%</c:formatCode>
                <c:ptCount val="4"/>
                <c:pt idx="0">
                  <c:v>0.70506912442396308</c:v>
                </c:pt>
                <c:pt idx="1">
                  <c:v>0.47976878612716761</c:v>
                </c:pt>
                <c:pt idx="2">
                  <c:v>0.41249999999999998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C-45E8-82D2-BE708C7098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9769840"/>
        <c:axId val="1244923888"/>
      </c:barChart>
      <c:catAx>
        <c:axId val="14697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23888"/>
        <c:crosses val="autoZero"/>
        <c:auto val="1"/>
        <c:lblAlgn val="ctr"/>
        <c:lblOffset val="100"/>
        <c:noMultiLvlLbl val="0"/>
      </c:catAx>
      <c:valAx>
        <c:axId val="12449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[CloudTask_Pro_Analysis.xlsx]Pivot_Analysis!PivotTable6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Active Customers by Risk Level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77549948389744"/>
          <c:y val="0.15845915412346925"/>
          <c:w val="0.77925996007095055"/>
          <c:h val="0.70269394909312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Pivot_Analysis!$G$13:$G$16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Pivot_Analysis!$H$13:$H$16</c:f>
              <c:numCache>
                <c:formatCode>General</c:formatCode>
                <c:ptCount val="3"/>
                <c:pt idx="0">
                  <c:v>93</c:v>
                </c:pt>
                <c:pt idx="1">
                  <c:v>62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F-44D2-95E0-4E0A654753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69841296"/>
        <c:axId val="1244946448"/>
      </c:barChart>
      <c:catAx>
        <c:axId val="1469841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46448"/>
        <c:crosses val="autoZero"/>
        <c:auto val="1"/>
        <c:lblAlgn val="ctr"/>
        <c:lblOffset val="100"/>
        <c:noMultiLvlLbl val="0"/>
      </c:catAx>
      <c:valAx>
        <c:axId val="12449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84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126235</xdr:colOff>
      <xdr:row>31</xdr:row>
      <xdr:rowOff>22951</xdr:rowOff>
    </xdr:from>
    <xdr:to>
      <xdr:col>3</xdr:col>
      <xdr:colOff>579533</xdr:colOff>
      <xdr:row>45</xdr:row>
      <xdr:rowOff>51641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1F975-2ADF-B0C1-2492-D4592B896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1051541</xdr:colOff>
      <xdr:row>25</xdr:row>
      <xdr:rowOff>114528</xdr:rowOff>
    </xdr:from>
    <xdr:to>
      <xdr:col>11</xdr:col>
      <xdr:colOff>833478</xdr:colOff>
      <xdr:row>40</xdr:row>
      <xdr:rowOff>103511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C4AD9A-38B4-4C0B-6994-356356C4B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375282</xdr:colOff>
      <xdr:row>17</xdr:row>
      <xdr:rowOff>29311</xdr:rowOff>
    </xdr:from>
    <xdr:to>
      <xdr:col>25</xdr:col>
      <xdr:colOff>224116</xdr:colOff>
      <xdr:row>34</xdr:row>
      <xdr:rowOff>171472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499E9D-61F1-8D50-5AE6-51A0A6300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1005543</xdr:colOff>
      <xdr:row>43</xdr:row>
      <xdr:rowOff>136680</xdr:rowOff>
    </xdr:from>
    <xdr:to>
      <xdr:col>11</xdr:col>
      <xdr:colOff>349818</xdr:colOff>
      <xdr:row>59</xdr:row>
      <xdr:rowOff>22379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19FF69-595A-767D-5DA2-CC448190B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304215</xdr:colOff>
      <xdr:row>60</xdr:row>
      <xdr:rowOff>130044</xdr:rowOff>
    </xdr:from>
    <xdr:to>
      <xdr:col>17</xdr:col>
      <xdr:colOff>55399</xdr:colOff>
      <xdr:row>75</xdr:row>
      <xdr:rowOff>103217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C2AFA4-43C6-2C63-EBB5-4335B3B64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4763</xdr:rowOff>
    </xdr:from>
    <xdr:to>
      <xdr:col>6</xdr:col>
      <xdr:colOff>609600</xdr:colOff>
      <xdr:row>21</xdr:row>
      <xdr:rowOff>28576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81116-A173-4B97-84D6-558600E8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638174</xdr:colOff>
      <xdr:row>6</xdr:row>
      <xdr:rowOff>9526</xdr:rowOff>
    </xdr:from>
    <xdr:to>
      <xdr:col>13</xdr:col>
      <xdr:colOff>642937</xdr:colOff>
      <xdr:row>21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CAECF4-67B2-40B5-9B3E-8FE635078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23811</xdr:colOff>
      <xdr:row>21</xdr:row>
      <xdr:rowOff>57150</xdr:rowOff>
    </xdr:from>
    <xdr:to>
      <xdr:col>6</xdr:col>
      <xdr:colOff>619125</xdr:colOff>
      <xdr:row>35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012F0D-D8B9-4B79-B374-723496C3F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38100</xdr:rowOff>
    </xdr:from>
    <xdr:to>
      <xdr:col>13</xdr:col>
      <xdr:colOff>642937</xdr:colOff>
      <xdr:row>35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E978CB-58A2-41FF-AFD0-545DEC569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ituzzaman Mayeed" refreshedDate="46306.697888310184" createdVersion="8" refreshedVersion="8" minRefreshableVersion="3" recordCount="601" xr:uid="{67A49408-1512-4F68-B156-38E50CB2C45A}">
  <cacheSource type="worksheet">
    <worksheetSource ref="A1:W1048576" sheet="Subscription_Data"/>
  </cacheSource>
  <cacheFields count="23">
    <cacheField name="customer_id" numFmtId="0">
      <sharedItems containsBlank="1"/>
    </cacheField>
    <cacheField name="plan" numFmtId="0">
      <sharedItems containsBlank="1" count="5">
        <s v="Professional"/>
        <s v="Starter"/>
        <s v="Business"/>
        <s v="Enterprise"/>
        <m/>
      </sharedItems>
    </cacheField>
    <cacheField name="billing_cycle" numFmtId="0">
      <sharedItems containsBlank="1" count="3">
        <s v="Monthly"/>
        <s v="Annual"/>
        <m/>
      </sharedItems>
    </cacheField>
    <cacheField name="industry" numFmtId="0">
      <sharedItems containsBlank="1"/>
    </cacheField>
    <cacheField name="company_size" numFmtId="0">
      <sharedItems containsBlank="1" count="6">
        <s v="51-200"/>
        <s v="500+"/>
        <s v="11-50"/>
        <s v="1-10"/>
        <s v="201-500"/>
        <m/>
      </sharedItems>
    </cacheField>
    <cacheField name="seats" numFmtId="0">
      <sharedItems containsString="0" containsBlank="1" containsNumber="1" containsInteger="1" minValue="1" maxValue="297"/>
    </cacheField>
    <cacheField name="monthly_revenue" numFmtId="0">
      <sharedItems containsString="0" containsBlank="1" containsNumber="1" containsInteger="1" minValue="25" maxValue="10978"/>
    </cacheField>
    <cacheField name="acquisition_channel" numFmtId="0">
      <sharedItems containsBlank="1" count="7">
        <s v="Organic Search"/>
        <s v="Direct Sales"/>
        <s v="Partner"/>
        <s v="Referral"/>
        <s v="Paid Ads"/>
        <s v="Social Media"/>
        <m/>
      </sharedItems>
    </cacheField>
    <cacheField name="region" numFmtId="0">
      <sharedItems containsBlank="1"/>
    </cacheField>
    <cacheField name="signup_date" numFmtId="0">
      <sharedItems containsNonDate="0" containsDate="1" containsString="0" containsBlank="1" minDate="2022-01-06T00:00:00" maxDate="2026-01-01T00:00:00"/>
    </cacheField>
    <cacheField name="churned" numFmtId="0">
      <sharedItems containsBlank="1" count="3">
        <s v="Yes"/>
        <s v="No"/>
        <m/>
      </sharedItems>
    </cacheField>
    <cacheField name="churn_date" numFmtId="0">
      <sharedItems containsBlank="1"/>
    </cacheField>
    <cacheField name="churn_reason" numFmtId="0">
      <sharedItems containsBlank="1" count="9">
        <s v="Price Too High"/>
        <s v="NULL"/>
        <s v="Poor Support"/>
        <s v="Switched Competitor"/>
        <s v="Budget Cuts"/>
        <s v="Company Closed"/>
        <s v="No Longer Needed"/>
        <s v="Missing Features"/>
        <m/>
      </sharedItems>
    </cacheField>
    <cacheField name="support_tickets_12mo" numFmtId="0">
      <sharedItems containsString="0" containsBlank="1" containsNumber="1" containsInteger="1" minValue="0" maxValue="15"/>
    </cacheField>
    <cacheField name="nps_score" numFmtId="0">
      <sharedItems containsString="0" containsBlank="1" containsNumber="1" containsInteger="1" minValue="1" maxValue="10"/>
    </cacheField>
    <cacheField name="feature_usage_pct" numFmtId="0">
      <sharedItems containsString="0" containsBlank="1" containsNumber="1" containsInteger="1" minValue="10" maxValue="95"/>
    </cacheField>
    <cacheField name="upgraded" numFmtId="0">
      <sharedItems containsBlank="1"/>
    </cacheField>
    <cacheField name="Churn_Flag" numFmtId="0">
      <sharedItems containsString="0" containsBlank="1" containsNumber="1" containsInteger="1" minValue="0" maxValue="1"/>
    </cacheField>
    <cacheField name="Low_Usage_Flag" numFmtId="0">
      <sharedItems containsString="0" containsBlank="1" containsNumber="1" containsInteger="1" minValue="0" maxValue="1"/>
    </cacheField>
    <cacheField name="Low_NPS_Flag" numFmtId="0">
      <sharedItems containsString="0" containsBlank="1" containsNumber="1" containsInteger="1" minValue="0" maxValue="1"/>
    </cacheField>
    <cacheField name="High_Support_Flag" numFmtId="0">
      <sharedItems containsString="0" containsBlank="1" containsNumber="1" containsInteger="1" minValue="0" maxValue="1"/>
    </cacheField>
    <cacheField name="Risk_Score" numFmtId="0">
      <sharedItems containsString="0" containsBlank="1" containsNumber="1" containsInteger="1" minValue="0" maxValue="3"/>
    </cacheField>
    <cacheField name="Risk_Level" numFmtId="0">
      <sharedItems containsBlank="1" count="4">
        <s v="High Risk"/>
        <s v="Medium Risk"/>
        <s v="Low Ris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ituzzaman Mayeed" refreshedDate="46306.720901967594" createdVersion="8" refreshedVersion="8" minRefreshableVersion="3" recordCount="48" xr:uid="{1653D392-9606-4922-9464-1A7BAB8D8734}">
  <cacheSource type="worksheet">
    <worksheetSource name="tblMonthlyRevenue"/>
  </cacheSource>
  <cacheFields count="15">
    <cacheField name="total_active_customers" numFmtId="0">
      <sharedItems containsSemiMixedTypes="0" containsString="0" containsNumber="1" containsInteger="1" minValue="0" maxValue="281"/>
    </cacheField>
    <cacheField name="new_customers" numFmtId="0">
      <sharedItems containsSemiMixedTypes="0" containsString="0" containsNumber="1" containsInteger="1" minValue="5" maxValue="19"/>
    </cacheField>
    <cacheField name="churned_customers" numFmtId="0">
      <sharedItems containsSemiMixedTypes="0" containsString="0" containsNumber="1" containsInteger="1" minValue="0" maxValue="17"/>
    </cacheField>
    <cacheField name="monthly_churn_rate_pct" numFmtId="0">
      <sharedItems containsSemiMixedTypes="0" containsString="0" containsNumber="1" minValue="0" maxValue="20"/>
    </cacheField>
    <cacheField name="total_mrr" numFmtId="0">
      <sharedItems containsSemiMixedTypes="0" containsString="0" containsNumber="1" minValue="0" maxValue="292628.61"/>
    </cacheField>
    <cacheField name="avg_revenue_per_customer" numFmtId="0">
      <sharedItems containsSemiMixedTypes="0" containsString="0" containsNumber="1" minValue="0" maxValue="1466.61"/>
    </cacheField>
    <cacheField name="customer_acquisition_cost" numFmtId="0">
      <sharedItems containsSemiMixedTypes="0" containsString="0" containsNumber="1" minValue="122.99" maxValue="279.58999999999997"/>
    </cacheField>
    <cacheField name="month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4"/>
    </cacheField>
    <cacheField name="Net_Customer_Change" numFmtId="0">
      <sharedItems containsSemiMixedTypes="0" containsString="0" containsNumber="1" containsInteger="1" minValue="-4" maxValue="15"/>
    </cacheField>
    <cacheField name="Estimated_New_MRR" numFmtId="0">
      <sharedItems containsSemiMixedTypes="0" containsString="0" containsNumber="1" minValue="0" maxValue="19725.8"/>
    </cacheField>
    <cacheField name="Estimated_Churned_MRR" numFmtId="0">
      <sharedItems containsSemiMixedTypes="0" containsString="0" containsNumber="1" minValue="0" maxValue="18120.13"/>
    </cacheField>
    <cacheField name="Estimated_Net_MRR_Change" numFmtId="0">
      <sharedItems containsSemiMixedTypes="0" containsString="0" containsNumber="1" minValue="-4263.5599999999995" maxValue="15573"/>
    </cacheField>
    <cacheField name="Months (month)" numFmtId="0" databaseField="0">
      <fieldGroup base="7">
        <rangePr groupBy="months" startDate="2022-01-01T00:00:00" endDate="2025-12-02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  <cacheField name="Quarters (month)" numFmtId="0" databaseField="0">
      <fieldGroup base="7">
        <rangePr groupBy="quarters" startDate="2022-01-01T00:00:00" endDate="2025-12-02T00:00:00"/>
        <groupItems count="6">
          <s v="&lt;01/01/2022"/>
          <s v="Qtr1"/>
          <s v="Qtr2"/>
          <s v="Qtr3"/>
          <s v="Qtr4"/>
          <s v="&gt;02/12/2025"/>
        </groupItems>
      </fieldGroup>
    </cacheField>
    <cacheField name="Years (month)" numFmtId="0" databaseField="0">
      <fieldGroup base="7">
        <rangePr groupBy="years" startDate="2022-01-01T00:00:00" endDate="2025-12-02T00:00:00"/>
        <groupItems count="6">
          <s v="&lt;01/01/2022"/>
          <s v="2022"/>
          <s v="2023"/>
          <s v="2024"/>
          <s v="2025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CUST-0001"/>
    <x v="0"/>
    <x v="0"/>
    <s v="Retail"/>
    <x v="0"/>
    <n v="64"/>
    <n v="826"/>
    <x v="0"/>
    <s v="North America"/>
    <d v="2022-06-27T00:00:00"/>
    <x v="0"/>
    <s v="2024-03-05"/>
    <x v="0"/>
    <n v="13"/>
    <n v="3"/>
    <n v="15"/>
    <s v="No"/>
    <n v="1"/>
    <n v="1"/>
    <n v="1"/>
    <n v="1"/>
    <n v="3"/>
    <x v="0"/>
  </r>
  <r>
    <s v="CUST-0002"/>
    <x v="0"/>
    <x v="1"/>
    <s v="Retail"/>
    <x v="0"/>
    <n v="35"/>
    <n v="410"/>
    <x v="1"/>
    <s v="North America"/>
    <d v="2023-03-19T00:00:00"/>
    <x v="1"/>
    <s v="NULL"/>
    <x v="1"/>
    <n v="1"/>
    <n v="3"/>
    <n v="52"/>
    <s v="Yes"/>
    <n v="0"/>
    <n v="0"/>
    <n v="1"/>
    <n v="0"/>
    <n v="1"/>
    <x v="1"/>
  </r>
  <r>
    <s v="CUST-0003"/>
    <x v="1"/>
    <x v="1"/>
    <s v="Finance"/>
    <x v="1"/>
    <n v="266"/>
    <n v="1004"/>
    <x v="2"/>
    <s v="North America"/>
    <d v="2024-10-19T00:00:00"/>
    <x v="0"/>
    <s v="2025-04-13"/>
    <x v="0"/>
    <n v="10"/>
    <n v="4"/>
    <n v="31"/>
    <s v="No"/>
    <n v="1"/>
    <n v="1"/>
    <n v="1"/>
    <n v="0"/>
    <n v="2"/>
    <x v="0"/>
  </r>
  <r>
    <s v="CUST-0004"/>
    <x v="2"/>
    <x v="1"/>
    <s v="Real Estate"/>
    <x v="2"/>
    <n v="34"/>
    <n v="1006"/>
    <x v="2"/>
    <s v="Europe"/>
    <d v="2023-01-07T00:00:00"/>
    <x v="1"/>
    <s v="NULL"/>
    <x v="1"/>
    <n v="3"/>
    <n v="7"/>
    <n v="58"/>
    <s v="No"/>
    <n v="0"/>
    <n v="0"/>
    <n v="0"/>
    <n v="0"/>
    <n v="0"/>
    <x v="2"/>
  </r>
  <r>
    <s v="CUST-0005"/>
    <x v="1"/>
    <x v="1"/>
    <s v="Manufacturing"/>
    <x v="0"/>
    <n v="48"/>
    <n v="198"/>
    <x v="1"/>
    <s v="North America"/>
    <d v="2025-09-23T00:00:00"/>
    <x v="1"/>
    <s v="NULL"/>
    <x v="1"/>
    <n v="3"/>
    <n v="7"/>
    <n v="59"/>
    <s v="No"/>
    <n v="0"/>
    <n v="0"/>
    <n v="0"/>
    <n v="0"/>
    <n v="0"/>
    <x v="2"/>
  </r>
  <r>
    <s v="CUST-0006"/>
    <x v="2"/>
    <x v="1"/>
    <s v="Technology"/>
    <x v="3"/>
    <n v="3"/>
    <n v="220"/>
    <x v="3"/>
    <s v="North America"/>
    <d v="2023-09-28T00:00:00"/>
    <x v="1"/>
    <s v="NULL"/>
    <x v="1"/>
    <n v="12"/>
    <n v="3"/>
    <n v="48"/>
    <s v="No"/>
    <n v="0"/>
    <n v="1"/>
    <n v="1"/>
    <n v="1"/>
    <n v="3"/>
    <x v="0"/>
  </r>
  <r>
    <s v="CUST-0007"/>
    <x v="1"/>
    <x v="0"/>
    <s v="Finance"/>
    <x v="4"/>
    <n v="121"/>
    <n v="551"/>
    <x v="2"/>
    <s v="Europe"/>
    <d v="2024-03-07T00:00:00"/>
    <x v="0"/>
    <s v="2025-04-08"/>
    <x v="2"/>
    <n v="0"/>
    <n v="2"/>
    <n v="14"/>
    <s v="No"/>
    <n v="1"/>
    <n v="1"/>
    <n v="1"/>
    <n v="0"/>
    <n v="2"/>
    <x v="0"/>
  </r>
  <r>
    <s v="CUST-0008"/>
    <x v="1"/>
    <x v="0"/>
    <s v="Technology"/>
    <x v="0"/>
    <n v="48"/>
    <n v="233"/>
    <x v="3"/>
    <s v="Europe"/>
    <d v="2025-04-08T00:00:00"/>
    <x v="0"/>
    <s v="2025-06-08"/>
    <x v="0"/>
    <n v="10"/>
    <n v="2"/>
    <n v="28"/>
    <s v="No"/>
    <n v="1"/>
    <n v="1"/>
    <n v="1"/>
    <n v="0"/>
    <n v="2"/>
    <x v="0"/>
  </r>
  <r>
    <s v="CUST-0009"/>
    <x v="1"/>
    <x v="0"/>
    <s v="Media"/>
    <x v="3"/>
    <n v="3"/>
    <n v="38"/>
    <x v="2"/>
    <s v="North America"/>
    <d v="2023-01-22T00:00:00"/>
    <x v="0"/>
    <s v="2023-04-21"/>
    <x v="3"/>
    <n v="5"/>
    <n v="6"/>
    <n v="15"/>
    <s v="No"/>
    <n v="1"/>
    <n v="1"/>
    <n v="1"/>
    <n v="0"/>
    <n v="2"/>
    <x v="0"/>
  </r>
  <r>
    <s v="CUST-0010"/>
    <x v="2"/>
    <x v="0"/>
    <s v="Healthcare"/>
    <x v="0"/>
    <n v="80"/>
    <n v="2557"/>
    <x v="2"/>
    <s v="North America"/>
    <d v="2022-06-27T00:00:00"/>
    <x v="0"/>
    <s v="2023-12-01"/>
    <x v="4"/>
    <n v="3"/>
    <n v="4"/>
    <n v="48"/>
    <s v="No"/>
    <n v="1"/>
    <n v="1"/>
    <n v="1"/>
    <n v="0"/>
    <n v="2"/>
    <x v="0"/>
  </r>
  <r>
    <s v="CUST-0011"/>
    <x v="2"/>
    <x v="1"/>
    <s v="Healthcare"/>
    <x v="4"/>
    <n v="77"/>
    <n v="2097"/>
    <x v="0"/>
    <s v="Asia Pacific"/>
    <d v="2022-12-07T00:00:00"/>
    <x v="0"/>
    <s v="2023-06-14"/>
    <x v="5"/>
    <n v="9"/>
    <n v="1"/>
    <n v="37"/>
    <s v="No"/>
    <n v="1"/>
    <n v="1"/>
    <n v="1"/>
    <n v="0"/>
    <n v="2"/>
    <x v="0"/>
  </r>
  <r>
    <s v="CUST-0012"/>
    <x v="2"/>
    <x v="1"/>
    <s v="Technology"/>
    <x v="2"/>
    <n v="30"/>
    <n v="905"/>
    <x v="3"/>
    <s v="North America"/>
    <d v="2023-11-17T00:00:00"/>
    <x v="1"/>
    <s v="NULL"/>
    <x v="1"/>
    <n v="4"/>
    <n v="1"/>
    <n v="47"/>
    <s v="Yes"/>
    <n v="0"/>
    <n v="1"/>
    <n v="1"/>
    <n v="0"/>
    <n v="2"/>
    <x v="0"/>
  </r>
  <r>
    <s v="CUST-0013"/>
    <x v="2"/>
    <x v="0"/>
    <s v="Finance"/>
    <x v="3"/>
    <n v="4"/>
    <n v="289"/>
    <x v="3"/>
    <s v="Europe"/>
    <d v="2024-07-02T00:00:00"/>
    <x v="1"/>
    <s v="NULL"/>
    <x v="1"/>
    <n v="10"/>
    <n v="9"/>
    <n v="84"/>
    <s v="Yes"/>
    <n v="0"/>
    <n v="0"/>
    <n v="0"/>
    <n v="0"/>
    <n v="0"/>
    <x v="2"/>
  </r>
  <r>
    <s v="CUST-0014"/>
    <x v="1"/>
    <x v="0"/>
    <s v="Retail"/>
    <x v="0"/>
    <n v="56"/>
    <n v="268"/>
    <x v="4"/>
    <s v="Europe"/>
    <d v="2022-05-29T00:00:00"/>
    <x v="0"/>
    <s v="2022-09-27"/>
    <x v="2"/>
    <n v="1"/>
    <n v="2"/>
    <n v="21"/>
    <s v="No"/>
    <n v="1"/>
    <n v="1"/>
    <n v="1"/>
    <n v="0"/>
    <n v="2"/>
    <x v="0"/>
  </r>
  <r>
    <s v="CUST-0015"/>
    <x v="1"/>
    <x v="0"/>
    <s v="Education"/>
    <x v="3"/>
    <n v="6"/>
    <n v="51"/>
    <x v="3"/>
    <s v="North America"/>
    <d v="2024-01-17T00:00:00"/>
    <x v="0"/>
    <s v="2024-05-16"/>
    <x v="6"/>
    <n v="7"/>
    <n v="3"/>
    <n v="25"/>
    <s v="No"/>
    <n v="1"/>
    <n v="1"/>
    <n v="1"/>
    <n v="0"/>
    <n v="2"/>
    <x v="0"/>
  </r>
  <r>
    <s v="CUST-0016"/>
    <x v="1"/>
    <x v="0"/>
    <s v="Manufacturing"/>
    <x v="4"/>
    <n v="52"/>
    <n v="251"/>
    <x v="0"/>
    <s v="North America"/>
    <d v="2022-06-01T00:00:00"/>
    <x v="0"/>
    <s v="2023-01-24"/>
    <x v="4"/>
    <n v="11"/>
    <n v="4"/>
    <n v="34"/>
    <s v="No"/>
    <n v="1"/>
    <n v="1"/>
    <n v="1"/>
    <n v="1"/>
    <n v="3"/>
    <x v="0"/>
  </r>
  <r>
    <s v="CUST-0017"/>
    <x v="2"/>
    <x v="0"/>
    <s v="Education"/>
    <x v="2"/>
    <n v="34"/>
    <n v="1184"/>
    <x v="4"/>
    <s v="North America"/>
    <d v="2024-12-23T00:00:00"/>
    <x v="0"/>
    <s v="2024-12-31"/>
    <x v="6"/>
    <n v="3"/>
    <n v="3"/>
    <n v="49"/>
    <s v="No"/>
    <n v="1"/>
    <n v="1"/>
    <n v="1"/>
    <n v="0"/>
    <n v="2"/>
    <x v="0"/>
  </r>
  <r>
    <s v="CUST-0018"/>
    <x v="1"/>
    <x v="0"/>
    <s v="Media"/>
    <x v="0"/>
    <n v="64"/>
    <n v="303"/>
    <x v="3"/>
    <s v="Europe"/>
    <d v="2023-06-21T00:00:00"/>
    <x v="0"/>
    <s v="2023-08-05"/>
    <x v="5"/>
    <n v="14"/>
    <n v="3"/>
    <n v="25"/>
    <s v="No"/>
    <n v="1"/>
    <n v="1"/>
    <n v="1"/>
    <n v="1"/>
    <n v="3"/>
    <x v="0"/>
  </r>
  <r>
    <s v="CUST-0019"/>
    <x v="0"/>
    <x v="1"/>
    <s v="Legal"/>
    <x v="1"/>
    <n v="67"/>
    <n v="732"/>
    <x v="2"/>
    <s v="Latin America"/>
    <d v="2024-03-26T00:00:00"/>
    <x v="0"/>
    <s v="2025-04-23"/>
    <x v="5"/>
    <n v="10"/>
    <n v="2"/>
    <n v="10"/>
    <s v="No"/>
    <n v="1"/>
    <n v="1"/>
    <n v="1"/>
    <n v="0"/>
    <n v="2"/>
    <x v="0"/>
  </r>
  <r>
    <s v="CUST-0020"/>
    <x v="3"/>
    <x v="1"/>
    <s v="Education"/>
    <x v="3"/>
    <n v="7"/>
    <n v="806"/>
    <x v="0"/>
    <s v="Asia Pacific"/>
    <d v="2023-08-11T00:00:00"/>
    <x v="1"/>
    <s v="NULL"/>
    <x v="1"/>
    <n v="8"/>
    <n v="4"/>
    <n v="93"/>
    <s v="No"/>
    <n v="0"/>
    <n v="0"/>
    <n v="1"/>
    <n v="0"/>
    <n v="1"/>
    <x v="1"/>
  </r>
  <r>
    <s v="CUST-0021"/>
    <x v="0"/>
    <x v="1"/>
    <s v="Retail"/>
    <x v="0"/>
    <n v="66"/>
    <n v="722"/>
    <x v="2"/>
    <s v="Europe"/>
    <d v="2023-11-23T00:00:00"/>
    <x v="0"/>
    <s v="2024-05-18"/>
    <x v="0"/>
    <n v="7"/>
    <n v="2"/>
    <n v="19"/>
    <s v="No"/>
    <n v="1"/>
    <n v="1"/>
    <n v="1"/>
    <n v="0"/>
    <n v="2"/>
    <x v="0"/>
  </r>
  <r>
    <s v="CUST-0022"/>
    <x v="2"/>
    <x v="1"/>
    <s v="Education"/>
    <x v="3"/>
    <n v="6"/>
    <n v="296"/>
    <x v="3"/>
    <s v="Europe"/>
    <d v="2022-07-02T00:00:00"/>
    <x v="1"/>
    <s v="NULL"/>
    <x v="1"/>
    <n v="5"/>
    <n v="7"/>
    <n v="40"/>
    <s v="No"/>
    <n v="0"/>
    <n v="1"/>
    <n v="0"/>
    <n v="0"/>
    <n v="1"/>
    <x v="1"/>
  </r>
  <r>
    <s v="CUST-0023"/>
    <x v="1"/>
    <x v="0"/>
    <s v="Healthcare"/>
    <x v="2"/>
    <n v="25"/>
    <n v="133"/>
    <x v="4"/>
    <s v="Europe"/>
    <d v="2024-02-17T00:00:00"/>
    <x v="0"/>
    <s v="2024-04-23"/>
    <x v="5"/>
    <n v="11"/>
    <n v="1"/>
    <n v="16"/>
    <s v="No"/>
    <n v="1"/>
    <n v="1"/>
    <n v="1"/>
    <n v="1"/>
    <n v="3"/>
    <x v="0"/>
  </r>
  <r>
    <s v="CUST-0024"/>
    <x v="3"/>
    <x v="1"/>
    <s v="Manufacturing"/>
    <x v="2"/>
    <n v="14"/>
    <n v="1251"/>
    <x v="3"/>
    <s v="Europe"/>
    <d v="2025-05-22T00:00:00"/>
    <x v="1"/>
    <s v="NULL"/>
    <x v="1"/>
    <n v="11"/>
    <n v="1"/>
    <n v="85"/>
    <s v="No"/>
    <n v="0"/>
    <n v="0"/>
    <n v="1"/>
    <n v="1"/>
    <n v="2"/>
    <x v="0"/>
  </r>
  <r>
    <s v="CUST-0025"/>
    <x v="1"/>
    <x v="1"/>
    <s v="Retail"/>
    <x v="2"/>
    <n v="7"/>
    <n v="47"/>
    <x v="3"/>
    <s v="North America"/>
    <d v="2024-06-08T00:00:00"/>
    <x v="1"/>
    <s v="NULL"/>
    <x v="1"/>
    <n v="1"/>
    <n v="1"/>
    <n v="42"/>
    <s v="No"/>
    <n v="0"/>
    <n v="1"/>
    <n v="1"/>
    <n v="0"/>
    <n v="2"/>
    <x v="0"/>
  </r>
  <r>
    <s v="CUST-0026"/>
    <x v="3"/>
    <x v="1"/>
    <s v="Media"/>
    <x v="3"/>
    <n v="4"/>
    <n v="615"/>
    <x v="3"/>
    <s v="Europe"/>
    <d v="2025-07-25T00:00:00"/>
    <x v="1"/>
    <s v="NULL"/>
    <x v="1"/>
    <n v="2"/>
    <n v="9"/>
    <n v="73"/>
    <s v="No"/>
    <n v="0"/>
    <n v="0"/>
    <n v="0"/>
    <n v="0"/>
    <n v="0"/>
    <x v="2"/>
  </r>
  <r>
    <s v="CUST-0027"/>
    <x v="1"/>
    <x v="0"/>
    <s v="Consulting"/>
    <x v="3"/>
    <n v="1"/>
    <n v="29"/>
    <x v="2"/>
    <s v="Asia Pacific"/>
    <d v="2023-09-10T00:00:00"/>
    <x v="0"/>
    <s v="2025-04-24"/>
    <x v="2"/>
    <n v="8"/>
    <n v="3"/>
    <n v="10"/>
    <s v="No"/>
    <n v="1"/>
    <n v="1"/>
    <n v="1"/>
    <n v="0"/>
    <n v="2"/>
    <x v="0"/>
  </r>
  <r>
    <s v="CUST-0028"/>
    <x v="0"/>
    <x v="1"/>
    <s v="Technology"/>
    <x v="0"/>
    <n v="35"/>
    <n v="410"/>
    <x v="0"/>
    <s v="Latin America"/>
    <d v="2025-12-29T00:00:00"/>
    <x v="1"/>
    <s v="NULL"/>
    <x v="1"/>
    <n v="8"/>
    <n v="4"/>
    <n v="53"/>
    <s v="No"/>
    <n v="0"/>
    <n v="0"/>
    <n v="1"/>
    <n v="0"/>
    <n v="1"/>
    <x v="1"/>
  </r>
  <r>
    <s v="CUST-0029"/>
    <x v="1"/>
    <x v="0"/>
    <s v="Real Estate"/>
    <x v="2"/>
    <n v="22"/>
    <n v="120"/>
    <x v="0"/>
    <s v="North America"/>
    <d v="2022-12-06T00:00:00"/>
    <x v="0"/>
    <s v="2023-08-15"/>
    <x v="7"/>
    <n v="4"/>
    <n v="2"/>
    <n v="17"/>
    <s v="No"/>
    <n v="1"/>
    <n v="1"/>
    <n v="1"/>
    <n v="0"/>
    <n v="2"/>
    <x v="0"/>
  </r>
  <r>
    <s v="CUST-0030"/>
    <x v="2"/>
    <x v="1"/>
    <s v="Real Estate"/>
    <x v="1"/>
    <n v="230"/>
    <n v="5979"/>
    <x v="2"/>
    <s v="Europe"/>
    <d v="2023-11-04T00:00:00"/>
    <x v="1"/>
    <s v="NULL"/>
    <x v="1"/>
    <n v="9"/>
    <n v="3"/>
    <n v="76"/>
    <s v="No"/>
    <n v="0"/>
    <n v="0"/>
    <n v="1"/>
    <n v="0"/>
    <n v="1"/>
    <x v="1"/>
  </r>
  <r>
    <s v="CUST-0031"/>
    <x v="2"/>
    <x v="1"/>
    <s v="Finance"/>
    <x v="1"/>
    <n v="174"/>
    <n v="4559"/>
    <x v="1"/>
    <s v="Europe"/>
    <d v="2024-07-20T00:00:00"/>
    <x v="1"/>
    <s v="NULL"/>
    <x v="1"/>
    <n v="8"/>
    <n v="7"/>
    <n v="84"/>
    <s v="No"/>
    <n v="0"/>
    <n v="0"/>
    <n v="0"/>
    <n v="0"/>
    <n v="0"/>
    <x v="2"/>
  </r>
  <r>
    <s v="CUST-0032"/>
    <x v="3"/>
    <x v="1"/>
    <s v="Technology"/>
    <x v="3"/>
    <n v="5"/>
    <n v="679"/>
    <x v="3"/>
    <s v="North America"/>
    <d v="2023-03-28T00:00:00"/>
    <x v="1"/>
    <s v="NULL"/>
    <x v="1"/>
    <n v="7"/>
    <n v="8"/>
    <n v="16"/>
    <s v="No"/>
    <n v="0"/>
    <n v="1"/>
    <n v="0"/>
    <n v="0"/>
    <n v="1"/>
    <x v="1"/>
  </r>
  <r>
    <s v="CUST-0033"/>
    <x v="1"/>
    <x v="1"/>
    <s v="Consulting"/>
    <x v="3"/>
    <n v="6"/>
    <n v="43"/>
    <x v="0"/>
    <s v="Latin America"/>
    <d v="2024-05-19T00:00:00"/>
    <x v="0"/>
    <s v="2024-07-29"/>
    <x v="6"/>
    <n v="11"/>
    <n v="3"/>
    <n v="30"/>
    <s v="No"/>
    <n v="1"/>
    <n v="1"/>
    <n v="1"/>
    <n v="1"/>
    <n v="3"/>
    <x v="0"/>
  </r>
  <r>
    <s v="CUST-0034"/>
    <x v="3"/>
    <x v="1"/>
    <s v="Education"/>
    <x v="2"/>
    <n v="35"/>
    <n v="2587"/>
    <x v="3"/>
    <s v="North America"/>
    <d v="2023-09-25T00:00:00"/>
    <x v="1"/>
    <s v="NULL"/>
    <x v="1"/>
    <n v="5"/>
    <n v="8"/>
    <n v="33"/>
    <s v="Yes"/>
    <n v="0"/>
    <n v="1"/>
    <n v="0"/>
    <n v="0"/>
    <n v="1"/>
    <x v="1"/>
  </r>
  <r>
    <s v="CUST-0035"/>
    <x v="1"/>
    <x v="0"/>
    <s v="Manufacturing"/>
    <x v="0"/>
    <n v="70"/>
    <n v="329"/>
    <x v="0"/>
    <s v="Latin America"/>
    <d v="2022-05-08T00:00:00"/>
    <x v="0"/>
    <s v="2022-07-24"/>
    <x v="3"/>
    <n v="0"/>
    <n v="6"/>
    <n v="30"/>
    <s v="No"/>
    <n v="1"/>
    <n v="1"/>
    <n v="1"/>
    <n v="0"/>
    <n v="2"/>
    <x v="0"/>
  </r>
  <r>
    <s v="CUST-0036"/>
    <x v="0"/>
    <x v="0"/>
    <s v="Manufacturing"/>
    <x v="3"/>
    <n v="7"/>
    <n v="150"/>
    <x v="3"/>
    <s v="Latin America"/>
    <d v="2023-04-22T00:00:00"/>
    <x v="0"/>
    <s v="2023-12-24"/>
    <x v="5"/>
    <n v="10"/>
    <n v="6"/>
    <n v="16"/>
    <s v="No"/>
    <n v="1"/>
    <n v="1"/>
    <n v="1"/>
    <n v="0"/>
    <n v="2"/>
    <x v="0"/>
  </r>
  <r>
    <s v="CUST-0037"/>
    <x v="0"/>
    <x v="0"/>
    <s v="Technology"/>
    <x v="3"/>
    <n v="2"/>
    <n v="91"/>
    <x v="1"/>
    <s v="North America"/>
    <d v="2024-06-14T00:00:00"/>
    <x v="0"/>
    <s v="2024-11-08"/>
    <x v="6"/>
    <n v="11"/>
    <n v="2"/>
    <n v="34"/>
    <s v="No"/>
    <n v="1"/>
    <n v="1"/>
    <n v="1"/>
    <n v="1"/>
    <n v="3"/>
    <x v="0"/>
  </r>
  <r>
    <s v="CUST-0038"/>
    <x v="0"/>
    <x v="0"/>
    <s v="Real Estate"/>
    <x v="3"/>
    <n v="5"/>
    <n v="126"/>
    <x v="0"/>
    <s v="Europe"/>
    <d v="2022-06-06T00:00:00"/>
    <x v="0"/>
    <s v="2022-08-11"/>
    <x v="4"/>
    <n v="6"/>
    <n v="1"/>
    <n v="30"/>
    <s v="No"/>
    <n v="1"/>
    <n v="1"/>
    <n v="1"/>
    <n v="0"/>
    <n v="2"/>
    <x v="0"/>
  </r>
  <r>
    <s v="CUST-0039"/>
    <x v="2"/>
    <x v="1"/>
    <s v="Retail"/>
    <x v="0"/>
    <n v="30"/>
    <n v="905"/>
    <x v="0"/>
    <s v="Asia Pacific"/>
    <d v="2024-05-02T00:00:00"/>
    <x v="1"/>
    <s v="NULL"/>
    <x v="1"/>
    <n v="4"/>
    <n v="9"/>
    <n v="71"/>
    <s v="Yes"/>
    <n v="0"/>
    <n v="0"/>
    <n v="0"/>
    <n v="0"/>
    <n v="0"/>
    <x v="2"/>
  </r>
  <r>
    <s v="CUST-0040"/>
    <x v="2"/>
    <x v="1"/>
    <s v="Media"/>
    <x v="2"/>
    <n v="24"/>
    <n v="753"/>
    <x v="1"/>
    <s v="Asia Pacific"/>
    <d v="2023-05-17T00:00:00"/>
    <x v="1"/>
    <s v="NULL"/>
    <x v="1"/>
    <n v="9"/>
    <n v="2"/>
    <n v="76"/>
    <s v="No"/>
    <n v="0"/>
    <n v="0"/>
    <n v="1"/>
    <n v="0"/>
    <n v="1"/>
    <x v="1"/>
  </r>
  <r>
    <s v="CUST-0041"/>
    <x v="1"/>
    <x v="0"/>
    <s v="Education"/>
    <x v="0"/>
    <n v="53"/>
    <n v="255"/>
    <x v="3"/>
    <s v="Asia Pacific"/>
    <d v="2022-12-21T00:00:00"/>
    <x v="0"/>
    <s v="2023-05-19"/>
    <x v="2"/>
    <n v="4"/>
    <n v="5"/>
    <n v="45"/>
    <s v="No"/>
    <n v="1"/>
    <n v="1"/>
    <n v="1"/>
    <n v="0"/>
    <n v="2"/>
    <x v="0"/>
  </r>
  <r>
    <s v="CUST-0042"/>
    <x v="1"/>
    <x v="0"/>
    <s v="Real Estate"/>
    <x v="0"/>
    <n v="34"/>
    <n v="173"/>
    <x v="2"/>
    <s v="Europe"/>
    <d v="2025-01-04T00:00:00"/>
    <x v="1"/>
    <s v="NULL"/>
    <x v="1"/>
    <n v="9"/>
    <n v="2"/>
    <n v="73"/>
    <s v="No"/>
    <n v="0"/>
    <n v="0"/>
    <n v="1"/>
    <n v="0"/>
    <n v="1"/>
    <x v="1"/>
  </r>
  <r>
    <s v="CUST-0043"/>
    <x v="0"/>
    <x v="1"/>
    <s v="Manufacturing"/>
    <x v="3"/>
    <n v="2"/>
    <n v="77"/>
    <x v="4"/>
    <s v="Europe"/>
    <d v="2022-02-20T00:00:00"/>
    <x v="1"/>
    <s v="NULL"/>
    <x v="1"/>
    <n v="9"/>
    <n v="9"/>
    <n v="20"/>
    <s v="No"/>
    <n v="0"/>
    <n v="1"/>
    <n v="0"/>
    <n v="0"/>
    <n v="1"/>
    <x v="1"/>
  </r>
  <r>
    <s v="CUST-0044"/>
    <x v="0"/>
    <x v="1"/>
    <s v="Legal"/>
    <x v="3"/>
    <n v="2"/>
    <n v="77"/>
    <x v="5"/>
    <s v="North America"/>
    <d v="2022-04-27T00:00:00"/>
    <x v="0"/>
    <s v="2022-08-02"/>
    <x v="0"/>
    <n v="7"/>
    <n v="6"/>
    <n v="20"/>
    <s v="No"/>
    <n v="1"/>
    <n v="1"/>
    <n v="1"/>
    <n v="0"/>
    <n v="2"/>
    <x v="0"/>
  </r>
  <r>
    <s v="CUST-0045"/>
    <x v="1"/>
    <x v="0"/>
    <s v="Retail"/>
    <x v="2"/>
    <n v="7"/>
    <n v="55"/>
    <x v="5"/>
    <s v="Latin America"/>
    <d v="2025-09-10T00:00:00"/>
    <x v="1"/>
    <s v="NULL"/>
    <x v="1"/>
    <n v="12"/>
    <n v="4"/>
    <n v="67"/>
    <s v="No"/>
    <n v="0"/>
    <n v="0"/>
    <n v="1"/>
    <n v="1"/>
    <n v="2"/>
    <x v="0"/>
  </r>
  <r>
    <s v="CUST-0046"/>
    <x v="0"/>
    <x v="0"/>
    <s v="Finance"/>
    <x v="3"/>
    <n v="4"/>
    <n v="115"/>
    <x v="4"/>
    <s v="North America"/>
    <d v="2023-07-07T00:00:00"/>
    <x v="0"/>
    <s v="2024-02-28"/>
    <x v="7"/>
    <n v="1"/>
    <n v="6"/>
    <n v="42"/>
    <s v="No"/>
    <n v="1"/>
    <n v="1"/>
    <n v="1"/>
    <n v="0"/>
    <n v="2"/>
    <x v="0"/>
  </r>
  <r>
    <s v="CUST-0047"/>
    <x v="2"/>
    <x v="0"/>
    <s v="Media"/>
    <x v="3"/>
    <n v="5"/>
    <n v="318"/>
    <x v="2"/>
    <s v="North America"/>
    <d v="2023-01-17T00:00:00"/>
    <x v="0"/>
    <s v="2025-06-13"/>
    <x v="6"/>
    <n v="15"/>
    <n v="4"/>
    <n v="46"/>
    <s v="No"/>
    <n v="1"/>
    <n v="1"/>
    <n v="1"/>
    <n v="1"/>
    <n v="3"/>
    <x v="0"/>
  </r>
  <r>
    <s v="CUST-0048"/>
    <x v="2"/>
    <x v="1"/>
    <s v="Education"/>
    <x v="3"/>
    <n v="4"/>
    <n v="245"/>
    <x v="3"/>
    <s v="Europe"/>
    <d v="2022-04-18T00:00:00"/>
    <x v="0"/>
    <s v="2022-07-12"/>
    <x v="4"/>
    <n v="4"/>
    <n v="5"/>
    <n v="16"/>
    <s v="No"/>
    <n v="1"/>
    <n v="1"/>
    <n v="1"/>
    <n v="0"/>
    <n v="2"/>
    <x v="0"/>
  </r>
  <r>
    <s v="CUST-0049"/>
    <x v="0"/>
    <x v="0"/>
    <s v="Real Estate"/>
    <x v="0"/>
    <n v="36"/>
    <n v="494"/>
    <x v="2"/>
    <s v="Asia Pacific"/>
    <d v="2022-05-18T00:00:00"/>
    <x v="0"/>
    <s v="2022-08-27"/>
    <x v="2"/>
    <n v="1"/>
    <n v="6"/>
    <n v="26"/>
    <s v="No"/>
    <n v="1"/>
    <n v="1"/>
    <n v="1"/>
    <n v="0"/>
    <n v="2"/>
    <x v="0"/>
  </r>
  <r>
    <s v="CUST-0050"/>
    <x v="1"/>
    <x v="1"/>
    <s v="Healthcare"/>
    <x v="3"/>
    <n v="7"/>
    <n v="47"/>
    <x v="0"/>
    <s v="North America"/>
    <d v="2022-06-22T00:00:00"/>
    <x v="0"/>
    <s v="2024-06-30"/>
    <x v="0"/>
    <n v="2"/>
    <n v="3"/>
    <n v="38"/>
    <s v="No"/>
    <n v="1"/>
    <n v="1"/>
    <n v="1"/>
    <n v="0"/>
    <n v="2"/>
    <x v="0"/>
  </r>
  <r>
    <s v="CUST-0051"/>
    <x v="0"/>
    <x v="0"/>
    <s v="Consulting"/>
    <x v="0"/>
    <n v="58"/>
    <n v="754"/>
    <x v="2"/>
    <s v="Europe"/>
    <d v="2022-12-27T00:00:00"/>
    <x v="0"/>
    <s v="2023-04-14"/>
    <x v="0"/>
    <n v="10"/>
    <n v="3"/>
    <n v="29"/>
    <s v="No"/>
    <n v="1"/>
    <n v="1"/>
    <n v="1"/>
    <n v="0"/>
    <n v="2"/>
    <x v="0"/>
  </r>
  <r>
    <s v="CUST-0052"/>
    <x v="1"/>
    <x v="0"/>
    <s v="Healthcare"/>
    <x v="4"/>
    <n v="138"/>
    <n v="625"/>
    <x v="3"/>
    <s v="North America"/>
    <d v="2025-03-16T00:00:00"/>
    <x v="0"/>
    <s v="2025-07-15"/>
    <x v="4"/>
    <n v="0"/>
    <n v="1"/>
    <n v="38"/>
    <s v="No"/>
    <n v="1"/>
    <n v="1"/>
    <n v="1"/>
    <n v="0"/>
    <n v="2"/>
    <x v="0"/>
  </r>
  <r>
    <s v="CUST-0053"/>
    <x v="1"/>
    <x v="0"/>
    <s v="Manufacturing"/>
    <x v="3"/>
    <n v="4"/>
    <n v="42"/>
    <x v="0"/>
    <s v="North America"/>
    <d v="2025-04-03T00:00:00"/>
    <x v="0"/>
    <s v="2025-07-04"/>
    <x v="0"/>
    <n v="1"/>
    <n v="2"/>
    <n v="43"/>
    <s v="No"/>
    <n v="1"/>
    <n v="1"/>
    <n v="1"/>
    <n v="0"/>
    <n v="2"/>
    <x v="0"/>
  </r>
  <r>
    <s v="CUST-0054"/>
    <x v="0"/>
    <x v="1"/>
    <s v="Healthcare"/>
    <x v="4"/>
    <n v="82"/>
    <n v="883"/>
    <x v="5"/>
    <s v="North America"/>
    <d v="2024-06-23T00:00:00"/>
    <x v="1"/>
    <s v="NULL"/>
    <x v="1"/>
    <n v="4"/>
    <n v="8"/>
    <n v="81"/>
    <s v="No"/>
    <n v="0"/>
    <n v="0"/>
    <n v="0"/>
    <n v="0"/>
    <n v="0"/>
    <x v="2"/>
  </r>
  <r>
    <s v="CUST-0055"/>
    <x v="2"/>
    <x v="0"/>
    <s v="Manufacturing"/>
    <x v="3"/>
    <n v="7"/>
    <n v="378"/>
    <x v="0"/>
    <s v="North America"/>
    <d v="2022-04-13T00:00:00"/>
    <x v="0"/>
    <s v="2024-09-16"/>
    <x v="7"/>
    <n v="6"/>
    <n v="2"/>
    <n v="21"/>
    <s v="No"/>
    <n v="1"/>
    <n v="1"/>
    <n v="1"/>
    <n v="0"/>
    <n v="2"/>
    <x v="0"/>
  </r>
  <r>
    <s v="CUST-0056"/>
    <x v="2"/>
    <x v="0"/>
    <s v="Technology"/>
    <x v="2"/>
    <n v="14"/>
    <n v="587"/>
    <x v="4"/>
    <s v="North America"/>
    <d v="2024-12-23T00:00:00"/>
    <x v="0"/>
    <s v="2025-11-15"/>
    <x v="7"/>
    <n v="3"/>
    <n v="2"/>
    <n v="37"/>
    <s v="No"/>
    <n v="1"/>
    <n v="1"/>
    <n v="1"/>
    <n v="0"/>
    <n v="2"/>
    <x v="0"/>
  </r>
  <r>
    <s v="CUST-0057"/>
    <x v="0"/>
    <x v="1"/>
    <s v="Healthcare"/>
    <x v="2"/>
    <n v="34"/>
    <n v="400"/>
    <x v="3"/>
    <s v="North America"/>
    <d v="2024-07-12T00:00:00"/>
    <x v="0"/>
    <s v="2025-08-05"/>
    <x v="6"/>
    <n v="1"/>
    <n v="1"/>
    <n v="10"/>
    <s v="No"/>
    <n v="1"/>
    <n v="1"/>
    <n v="1"/>
    <n v="0"/>
    <n v="2"/>
    <x v="0"/>
  </r>
  <r>
    <s v="CUST-0058"/>
    <x v="1"/>
    <x v="0"/>
    <s v="Real Estate"/>
    <x v="4"/>
    <n v="48"/>
    <n v="233"/>
    <x v="3"/>
    <s v="Europe"/>
    <d v="2022-09-10T00:00:00"/>
    <x v="0"/>
    <s v="2023-03-17"/>
    <x v="0"/>
    <n v="2"/>
    <n v="1"/>
    <n v="12"/>
    <s v="No"/>
    <n v="1"/>
    <n v="1"/>
    <n v="1"/>
    <n v="0"/>
    <n v="2"/>
    <x v="0"/>
  </r>
  <r>
    <s v="CUST-0059"/>
    <x v="0"/>
    <x v="1"/>
    <s v="Healthcare"/>
    <x v="2"/>
    <n v="28"/>
    <n v="339"/>
    <x v="5"/>
    <s v="North America"/>
    <d v="2023-12-30T00:00:00"/>
    <x v="0"/>
    <s v="2024-10-10"/>
    <x v="7"/>
    <n v="5"/>
    <n v="1"/>
    <n v="13"/>
    <s v="No"/>
    <n v="1"/>
    <n v="1"/>
    <n v="1"/>
    <n v="0"/>
    <n v="2"/>
    <x v="0"/>
  </r>
  <r>
    <s v="CUST-0060"/>
    <x v="0"/>
    <x v="0"/>
    <s v="Finance"/>
    <x v="0"/>
    <n v="59"/>
    <n v="766"/>
    <x v="2"/>
    <s v="Asia Pacific"/>
    <d v="2024-07-30T00:00:00"/>
    <x v="0"/>
    <s v="2024-09-07"/>
    <x v="3"/>
    <n v="12"/>
    <n v="1"/>
    <n v="45"/>
    <s v="No"/>
    <n v="1"/>
    <n v="1"/>
    <n v="1"/>
    <n v="1"/>
    <n v="3"/>
    <x v="0"/>
  </r>
  <r>
    <s v="CUST-0061"/>
    <x v="2"/>
    <x v="0"/>
    <s v="Legal"/>
    <x v="0"/>
    <n v="53"/>
    <n v="1751"/>
    <x v="3"/>
    <s v="Europe"/>
    <d v="2022-03-25T00:00:00"/>
    <x v="0"/>
    <s v="2023-04-06"/>
    <x v="3"/>
    <n v="13"/>
    <n v="5"/>
    <n v="11"/>
    <s v="No"/>
    <n v="1"/>
    <n v="1"/>
    <n v="1"/>
    <n v="1"/>
    <n v="3"/>
    <x v="0"/>
  </r>
  <r>
    <s v="CUST-0062"/>
    <x v="0"/>
    <x v="0"/>
    <s v="Finance"/>
    <x v="2"/>
    <n v="21"/>
    <n v="316"/>
    <x v="4"/>
    <s v="North America"/>
    <d v="2022-10-01T00:00:00"/>
    <x v="0"/>
    <s v="2024-04-13"/>
    <x v="3"/>
    <n v="1"/>
    <n v="3"/>
    <n v="16"/>
    <s v="No"/>
    <n v="1"/>
    <n v="1"/>
    <n v="1"/>
    <n v="0"/>
    <n v="2"/>
    <x v="0"/>
  </r>
  <r>
    <s v="CUST-0063"/>
    <x v="3"/>
    <x v="1"/>
    <s v="Retail"/>
    <x v="2"/>
    <n v="18"/>
    <n v="1506"/>
    <x v="0"/>
    <s v="North America"/>
    <d v="2025-08-21T00:00:00"/>
    <x v="1"/>
    <s v="NULL"/>
    <x v="1"/>
    <n v="3"/>
    <n v="7"/>
    <n v="61"/>
    <s v="No"/>
    <n v="0"/>
    <n v="0"/>
    <n v="0"/>
    <n v="0"/>
    <n v="0"/>
    <x v="2"/>
  </r>
  <r>
    <s v="CUST-0064"/>
    <x v="0"/>
    <x v="1"/>
    <s v="Retail"/>
    <x v="0"/>
    <n v="51"/>
    <n v="571"/>
    <x v="1"/>
    <s v="Asia Pacific"/>
    <d v="2022-10-02T00:00:00"/>
    <x v="1"/>
    <s v="NULL"/>
    <x v="1"/>
    <n v="1"/>
    <n v="10"/>
    <n v="33"/>
    <s v="No"/>
    <n v="0"/>
    <n v="1"/>
    <n v="0"/>
    <n v="0"/>
    <n v="1"/>
    <x v="1"/>
  </r>
  <r>
    <s v="CUST-0065"/>
    <x v="1"/>
    <x v="0"/>
    <s v="Manufacturing"/>
    <x v="4"/>
    <n v="60"/>
    <n v="286"/>
    <x v="1"/>
    <s v="North America"/>
    <d v="2022-11-12T00:00:00"/>
    <x v="0"/>
    <s v="2022-11-20"/>
    <x v="2"/>
    <n v="13"/>
    <n v="3"/>
    <n v="46"/>
    <s v="No"/>
    <n v="1"/>
    <n v="1"/>
    <n v="1"/>
    <n v="1"/>
    <n v="3"/>
    <x v="0"/>
  </r>
  <r>
    <s v="CUST-0066"/>
    <x v="1"/>
    <x v="1"/>
    <s v="Education"/>
    <x v="0"/>
    <n v="55"/>
    <n v="224"/>
    <x v="0"/>
    <s v="North America"/>
    <d v="2024-06-28T00:00:00"/>
    <x v="0"/>
    <s v="2024-07-21"/>
    <x v="2"/>
    <n v="12"/>
    <n v="1"/>
    <n v="12"/>
    <s v="No"/>
    <n v="1"/>
    <n v="1"/>
    <n v="1"/>
    <n v="1"/>
    <n v="3"/>
    <x v="0"/>
  </r>
  <r>
    <s v="CUST-0067"/>
    <x v="2"/>
    <x v="1"/>
    <s v="Media"/>
    <x v="3"/>
    <n v="7"/>
    <n v="321"/>
    <x v="4"/>
    <s v="North America"/>
    <d v="2023-09-28T00:00:00"/>
    <x v="1"/>
    <s v="NULL"/>
    <x v="1"/>
    <n v="4"/>
    <n v="8"/>
    <n v="30"/>
    <s v="No"/>
    <n v="0"/>
    <n v="1"/>
    <n v="0"/>
    <n v="0"/>
    <n v="1"/>
    <x v="1"/>
  </r>
  <r>
    <s v="CUST-0068"/>
    <x v="0"/>
    <x v="1"/>
    <s v="Education"/>
    <x v="3"/>
    <n v="1"/>
    <n v="67"/>
    <x v="3"/>
    <s v="Asia Pacific"/>
    <d v="2025-12-02T00:00:00"/>
    <x v="1"/>
    <s v="NULL"/>
    <x v="1"/>
    <n v="7"/>
    <n v="3"/>
    <n v="29"/>
    <s v="No"/>
    <n v="0"/>
    <n v="1"/>
    <n v="1"/>
    <n v="0"/>
    <n v="2"/>
    <x v="0"/>
  </r>
  <r>
    <s v="CUST-0069"/>
    <x v="1"/>
    <x v="1"/>
    <s v="Media"/>
    <x v="3"/>
    <n v="2"/>
    <n v="28"/>
    <x v="0"/>
    <s v="Europe"/>
    <d v="2023-07-30T00:00:00"/>
    <x v="0"/>
    <s v="2024-09-17"/>
    <x v="7"/>
    <n v="1"/>
    <n v="2"/>
    <n v="25"/>
    <s v="No"/>
    <n v="1"/>
    <n v="1"/>
    <n v="1"/>
    <n v="0"/>
    <n v="2"/>
    <x v="0"/>
  </r>
  <r>
    <s v="CUST-0070"/>
    <x v="2"/>
    <x v="0"/>
    <s v="Technology"/>
    <x v="0"/>
    <n v="64"/>
    <n v="2080"/>
    <x v="0"/>
    <s v="North America"/>
    <d v="2022-08-25T00:00:00"/>
    <x v="0"/>
    <s v="2022-08-27"/>
    <x v="6"/>
    <n v="3"/>
    <n v="1"/>
    <n v="28"/>
    <s v="No"/>
    <n v="1"/>
    <n v="1"/>
    <n v="1"/>
    <n v="0"/>
    <n v="2"/>
    <x v="0"/>
  </r>
  <r>
    <s v="CUST-0071"/>
    <x v="3"/>
    <x v="0"/>
    <s v="Retail"/>
    <x v="4"/>
    <n v="58"/>
    <n v="4765"/>
    <x v="0"/>
    <s v="Europe"/>
    <d v="2022-01-22T00:00:00"/>
    <x v="1"/>
    <s v="NULL"/>
    <x v="1"/>
    <n v="4"/>
    <n v="10"/>
    <n v="42"/>
    <s v="No"/>
    <n v="0"/>
    <n v="1"/>
    <n v="0"/>
    <n v="0"/>
    <n v="1"/>
    <x v="1"/>
  </r>
  <r>
    <s v="CUST-0072"/>
    <x v="1"/>
    <x v="0"/>
    <s v="Consulting"/>
    <x v="0"/>
    <n v="31"/>
    <n v="160"/>
    <x v="0"/>
    <s v="North America"/>
    <d v="2024-06-21T00:00:00"/>
    <x v="1"/>
    <s v="NULL"/>
    <x v="1"/>
    <n v="7"/>
    <n v="10"/>
    <n v="81"/>
    <s v="No"/>
    <n v="0"/>
    <n v="0"/>
    <n v="0"/>
    <n v="0"/>
    <n v="0"/>
    <x v="2"/>
  </r>
  <r>
    <s v="CUST-0073"/>
    <x v="0"/>
    <x v="0"/>
    <s v="Healthcare"/>
    <x v="4"/>
    <n v="106"/>
    <n v="1323"/>
    <x v="3"/>
    <s v="North America"/>
    <d v="2025-05-20T00:00:00"/>
    <x v="1"/>
    <s v="NULL"/>
    <x v="1"/>
    <n v="7"/>
    <n v="2"/>
    <n v="87"/>
    <s v="Yes"/>
    <n v="0"/>
    <n v="0"/>
    <n v="1"/>
    <n v="0"/>
    <n v="1"/>
    <x v="1"/>
  </r>
  <r>
    <s v="CUST-0074"/>
    <x v="1"/>
    <x v="0"/>
    <s v="Legal"/>
    <x v="0"/>
    <n v="42"/>
    <n v="207"/>
    <x v="4"/>
    <s v="North America"/>
    <d v="2023-12-14T00:00:00"/>
    <x v="0"/>
    <s v="2024-12-03"/>
    <x v="5"/>
    <n v="12"/>
    <n v="3"/>
    <n v="10"/>
    <s v="No"/>
    <n v="1"/>
    <n v="1"/>
    <n v="1"/>
    <n v="1"/>
    <n v="3"/>
    <x v="0"/>
  </r>
  <r>
    <s v="CUST-0075"/>
    <x v="0"/>
    <x v="0"/>
    <s v="Retail"/>
    <x v="3"/>
    <n v="6"/>
    <n v="138"/>
    <x v="4"/>
    <s v="North America"/>
    <d v="2022-12-30T00:00:00"/>
    <x v="1"/>
    <s v="NULL"/>
    <x v="1"/>
    <n v="5"/>
    <n v="1"/>
    <n v="49"/>
    <s v="No"/>
    <n v="0"/>
    <n v="1"/>
    <n v="1"/>
    <n v="0"/>
    <n v="2"/>
    <x v="0"/>
  </r>
  <r>
    <s v="CUST-0076"/>
    <x v="0"/>
    <x v="1"/>
    <s v="Healthcare"/>
    <x v="4"/>
    <n v="56"/>
    <n v="621"/>
    <x v="3"/>
    <s v="Europe"/>
    <d v="2024-03-03T00:00:00"/>
    <x v="1"/>
    <s v="NULL"/>
    <x v="1"/>
    <n v="2"/>
    <n v="5"/>
    <n v="87"/>
    <s v="No"/>
    <n v="0"/>
    <n v="0"/>
    <n v="1"/>
    <n v="0"/>
    <n v="1"/>
    <x v="1"/>
  </r>
  <r>
    <s v="CUST-0077"/>
    <x v="3"/>
    <x v="0"/>
    <s v="Media"/>
    <x v="0"/>
    <n v="52"/>
    <n v="4316"/>
    <x v="2"/>
    <s v="Europe"/>
    <d v="2023-05-01T00:00:00"/>
    <x v="1"/>
    <s v="NULL"/>
    <x v="1"/>
    <n v="4"/>
    <n v="7"/>
    <n v="88"/>
    <s v="No"/>
    <n v="0"/>
    <n v="0"/>
    <n v="0"/>
    <n v="0"/>
    <n v="0"/>
    <x v="2"/>
  </r>
  <r>
    <s v="CUST-0078"/>
    <x v="1"/>
    <x v="1"/>
    <s v="Media"/>
    <x v="0"/>
    <n v="24"/>
    <n v="110"/>
    <x v="2"/>
    <s v="Europe"/>
    <d v="2023-02-21T00:00:00"/>
    <x v="0"/>
    <s v="2025-09-09"/>
    <x v="4"/>
    <n v="2"/>
    <n v="4"/>
    <n v="16"/>
    <s v="No"/>
    <n v="1"/>
    <n v="1"/>
    <n v="1"/>
    <n v="0"/>
    <n v="2"/>
    <x v="0"/>
  </r>
  <r>
    <s v="CUST-0079"/>
    <x v="2"/>
    <x v="0"/>
    <s v="Healthcare"/>
    <x v="0"/>
    <n v="40"/>
    <n v="1363"/>
    <x v="5"/>
    <s v="North America"/>
    <d v="2024-01-06T00:00:00"/>
    <x v="1"/>
    <s v="NULL"/>
    <x v="1"/>
    <n v="0"/>
    <n v="4"/>
    <n v="29"/>
    <s v="No"/>
    <n v="0"/>
    <n v="1"/>
    <n v="1"/>
    <n v="0"/>
    <n v="2"/>
    <x v="0"/>
  </r>
  <r>
    <s v="CUST-0080"/>
    <x v="1"/>
    <x v="0"/>
    <s v="Healthcare"/>
    <x v="2"/>
    <n v="5"/>
    <n v="46"/>
    <x v="0"/>
    <s v="Asia Pacific"/>
    <d v="2025-03-05T00:00:00"/>
    <x v="0"/>
    <s v="2025-04-06"/>
    <x v="6"/>
    <n v="0"/>
    <n v="6"/>
    <n v="20"/>
    <s v="No"/>
    <n v="1"/>
    <n v="1"/>
    <n v="1"/>
    <n v="0"/>
    <n v="2"/>
    <x v="0"/>
  </r>
  <r>
    <s v="CUST-0081"/>
    <x v="2"/>
    <x v="1"/>
    <s v="Finance"/>
    <x v="2"/>
    <n v="24"/>
    <n v="753"/>
    <x v="0"/>
    <s v="Asia Pacific"/>
    <d v="2024-01-17T00:00:00"/>
    <x v="1"/>
    <s v="NULL"/>
    <x v="1"/>
    <n v="2"/>
    <n v="6"/>
    <n v="86"/>
    <s v="No"/>
    <n v="0"/>
    <n v="0"/>
    <n v="1"/>
    <n v="0"/>
    <n v="1"/>
    <x v="1"/>
  </r>
  <r>
    <s v="CUST-0082"/>
    <x v="1"/>
    <x v="1"/>
    <s v="Technology"/>
    <x v="3"/>
    <n v="1"/>
    <n v="25"/>
    <x v="5"/>
    <s v="Europe"/>
    <d v="2024-06-19T00:00:00"/>
    <x v="0"/>
    <s v="2025-06-04"/>
    <x v="4"/>
    <n v="14"/>
    <n v="2"/>
    <n v="22"/>
    <s v="No"/>
    <n v="1"/>
    <n v="1"/>
    <n v="1"/>
    <n v="1"/>
    <n v="3"/>
    <x v="0"/>
  </r>
  <r>
    <s v="CUST-0083"/>
    <x v="0"/>
    <x v="0"/>
    <s v="Education"/>
    <x v="3"/>
    <n v="5"/>
    <n v="126"/>
    <x v="4"/>
    <s v="Asia Pacific"/>
    <d v="2025-09-12T00:00:00"/>
    <x v="1"/>
    <s v="NULL"/>
    <x v="1"/>
    <n v="6"/>
    <n v="9"/>
    <n v="56"/>
    <s v="No"/>
    <n v="0"/>
    <n v="0"/>
    <n v="0"/>
    <n v="0"/>
    <n v="0"/>
    <x v="2"/>
  </r>
  <r>
    <s v="CUST-0084"/>
    <x v="2"/>
    <x v="0"/>
    <s v="Real Estate"/>
    <x v="4"/>
    <n v="71"/>
    <n v="2289"/>
    <x v="3"/>
    <s v="Europe"/>
    <d v="2023-01-21T00:00:00"/>
    <x v="0"/>
    <s v="2024-01-17"/>
    <x v="7"/>
    <n v="6"/>
    <n v="5"/>
    <n v="29"/>
    <s v="No"/>
    <n v="1"/>
    <n v="1"/>
    <n v="1"/>
    <n v="0"/>
    <n v="2"/>
    <x v="0"/>
  </r>
  <r>
    <s v="CUST-0085"/>
    <x v="1"/>
    <x v="0"/>
    <s v="Real Estate"/>
    <x v="2"/>
    <n v="21"/>
    <n v="116"/>
    <x v="2"/>
    <s v="Latin America"/>
    <d v="2025-01-04T00:00:00"/>
    <x v="0"/>
    <s v="2025-03-14"/>
    <x v="5"/>
    <n v="13"/>
    <n v="2"/>
    <n v="42"/>
    <s v="No"/>
    <n v="1"/>
    <n v="1"/>
    <n v="1"/>
    <n v="1"/>
    <n v="3"/>
    <x v="0"/>
  </r>
  <r>
    <s v="CUST-0086"/>
    <x v="2"/>
    <x v="0"/>
    <s v="Technology"/>
    <x v="2"/>
    <n v="27"/>
    <n v="975"/>
    <x v="2"/>
    <s v="Europe"/>
    <d v="2024-07-06T00:00:00"/>
    <x v="1"/>
    <s v="NULL"/>
    <x v="1"/>
    <n v="9"/>
    <n v="7"/>
    <n v="35"/>
    <s v="No"/>
    <n v="0"/>
    <n v="1"/>
    <n v="0"/>
    <n v="0"/>
    <n v="1"/>
    <x v="1"/>
  </r>
  <r>
    <s v="CUST-0087"/>
    <x v="0"/>
    <x v="1"/>
    <s v="Education"/>
    <x v="0"/>
    <n v="17"/>
    <n v="228"/>
    <x v="1"/>
    <s v="Europe"/>
    <d v="2024-05-09T00:00:00"/>
    <x v="1"/>
    <s v="NULL"/>
    <x v="1"/>
    <n v="2"/>
    <n v="4"/>
    <n v="88"/>
    <s v="No"/>
    <n v="0"/>
    <n v="0"/>
    <n v="1"/>
    <n v="0"/>
    <n v="1"/>
    <x v="1"/>
  </r>
  <r>
    <s v="CUST-0088"/>
    <x v="1"/>
    <x v="0"/>
    <s v="Consulting"/>
    <x v="0"/>
    <n v="76"/>
    <n v="355"/>
    <x v="3"/>
    <s v="Asia Pacific"/>
    <d v="2024-12-15T00:00:00"/>
    <x v="0"/>
    <s v="2025-05-29"/>
    <x v="4"/>
    <n v="7"/>
    <n v="3"/>
    <n v="20"/>
    <s v="No"/>
    <n v="1"/>
    <n v="1"/>
    <n v="1"/>
    <n v="0"/>
    <n v="2"/>
    <x v="0"/>
  </r>
  <r>
    <s v="CUST-0089"/>
    <x v="0"/>
    <x v="1"/>
    <s v="Healthcare"/>
    <x v="4"/>
    <n v="75"/>
    <n v="813"/>
    <x v="0"/>
    <s v="Asia Pacific"/>
    <d v="2022-11-21T00:00:00"/>
    <x v="0"/>
    <s v="2023-10-01"/>
    <x v="2"/>
    <n v="12"/>
    <n v="6"/>
    <n v="20"/>
    <s v="No"/>
    <n v="1"/>
    <n v="1"/>
    <n v="1"/>
    <n v="1"/>
    <n v="3"/>
    <x v="0"/>
  </r>
  <r>
    <s v="CUST-0090"/>
    <x v="2"/>
    <x v="1"/>
    <s v="Healthcare"/>
    <x v="0"/>
    <n v="67"/>
    <n v="1844"/>
    <x v="4"/>
    <s v="Europe"/>
    <d v="2022-03-28T00:00:00"/>
    <x v="0"/>
    <s v="2022-11-20"/>
    <x v="3"/>
    <n v="7"/>
    <n v="1"/>
    <n v="36"/>
    <s v="No"/>
    <n v="1"/>
    <n v="1"/>
    <n v="1"/>
    <n v="0"/>
    <n v="2"/>
    <x v="0"/>
  </r>
  <r>
    <s v="CUST-0091"/>
    <x v="3"/>
    <x v="1"/>
    <s v="Media"/>
    <x v="2"/>
    <n v="20"/>
    <n v="1633"/>
    <x v="3"/>
    <s v="North America"/>
    <d v="2024-10-31T00:00:00"/>
    <x v="0"/>
    <s v="2025-02-22"/>
    <x v="5"/>
    <n v="13"/>
    <n v="2"/>
    <n v="42"/>
    <s v="No"/>
    <n v="1"/>
    <n v="1"/>
    <n v="1"/>
    <n v="1"/>
    <n v="3"/>
    <x v="0"/>
  </r>
  <r>
    <s v="CUST-0092"/>
    <x v="1"/>
    <x v="0"/>
    <s v="Consulting"/>
    <x v="3"/>
    <n v="5"/>
    <n v="46"/>
    <x v="2"/>
    <s v="Asia Pacific"/>
    <d v="2025-03-16T00:00:00"/>
    <x v="1"/>
    <s v="NULL"/>
    <x v="1"/>
    <n v="7"/>
    <n v="7"/>
    <n v="41"/>
    <s v="No"/>
    <n v="0"/>
    <n v="1"/>
    <n v="0"/>
    <n v="0"/>
    <n v="1"/>
    <x v="1"/>
  </r>
  <r>
    <s v="CUST-0093"/>
    <x v="1"/>
    <x v="0"/>
    <s v="Manufacturing"/>
    <x v="3"/>
    <n v="7"/>
    <n v="55"/>
    <x v="1"/>
    <s v="North America"/>
    <d v="2025-10-30T00:00:00"/>
    <x v="1"/>
    <s v="NULL"/>
    <x v="1"/>
    <n v="2"/>
    <n v="10"/>
    <n v="63"/>
    <s v="No"/>
    <n v="0"/>
    <n v="0"/>
    <n v="0"/>
    <n v="0"/>
    <n v="0"/>
    <x v="2"/>
  </r>
  <r>
    <s v="CUST-0094"/>
    <x v="2"/>
    <x v="0"/>
    <s v="Education"/>
    <x v="1"/>
    <n v="234"/>
    <n v="7154"/>
    <x v="2"/>
    <s v="North America"/>
    <d v="2022-07-29T00:00:00"/>
    <x v="0"/>
    <s v="2025-09-30"/>
    <x v="2"/>
    <n v="4"/>
    <n v="6"/>
    <n v="14"/>
    <s v="No"/>
    <n v="1"/>
    <n v="1"/>
    <n v="1"/>
    <n v="0"/>
    <n v="2"/>
    <x v="0"/>
  </r>
  <r>
    <s v="CUST-0095"/>
    <x v="0"/>
    <x v="0"/>
    <s v="Finance"/>
    <x v="2"/>
    <n v="14"/>
    <n v="233"/>
    <x v="4"/>
    <s v="North America"/>
    <d v="2022-10-25T00:00:00"/>
    <x v="0"/>
    <s v="2023-04-09"/>
    <x v="4"/>
    <n v="5"/>
    <n v="6"/>
    <n v="11"/>
    <s v="No"/>
    <n v="1"/>
    <n v="1"/>
    <n v="1"/>
    <n v="0"/>
    <n v="2"/>
    <x v="0"/>
  </r>
  <r>
    <s v="CUST-0096"/>
    <x v="1"/>
    <x v="0"/>
    <s v="Legal"/>
    <x v="2"/>
    <n v="15"/>
    <n v="90"/>
    <x v="1"/>
    <s v="North America"/>
    <d v="2023-08-31T00:00:00"/>
    <x v="0"/>
    <s v="2023-09-26"/>
    <x v="0"/>
    <n v="12"/>
    <n v="1"/>
    <n v="12"/>
    <s v="No"/>
    <n v="1"/>
    <n v="1"/>
    <n v="1"/>
    <n v="1"/>
    <n v="3"/>
    <x v="0"/>
  </r>
  <r>
    <s v="CUST-0097"/>
    <x v="3"/>
    <x v="0"/>
    <s v="Education"/>
    <x v="0"/>
    <n v="31"/>
    <n v="2745"/>
    <x v="0"/>
    <s v="North America"/>
    <d v="2023-10-16T00:00:00"/>
    <x v="1"/>
    <s v="NULL"/>
    <x v="1"/>
    <n v="1"/>
    <n v="1"/>
    <n v="22"/>
    <s v="No"/>
    <n v="0"/>
    <n v="1"/>
    <n v="1"/>
    <n v="0"/>
    <n v="2"/>
    <x v="0"/>
  </r>
  <r>
    <s v="CUST-0098"/>
    <x v="0"/>
    <x v="1"/>
    <s v="Consulting"/>
    <x v="3"/>
    <n v="8"/>
    <n v="138"/>
    <x v="0"/>
    <s v="North America"/>
    <d v="2025-11-28T00:00:00"/>
    <x v="0"/>
    <s v="2025-12-14"/>
    <x v="5"/>
    <n v="10"/>
    <n v="6"/>
    <n v="43"/>
    <s v="No"/>
    <n v="1"/>
    <n v="1"/>
    <n v="1"/>
    <n v="0"/>
    <n v="2"/>
    <x v="0"/>
  </r>
  <r>
    <s v="CUST-0099"/>
    <x v="3"/>
    <x v="0"/>
    <s v="Manufacturing"/>
    <x v="2"/>
    <n v="6"/>
    <n v="873"/>
    <x v="0"/>
    <s v="Asia Pacific"/>
    <d v="2022-08-19T00:00:00"/>
    <x v="1"/>
    <s v="NULL"/>
    <x v="1"/>
    <n v="3"/>
    <n v="4"/>
    <n v="70"/>
    <s v="No"/>
    <n v="0"/>
    <n v="0"/>
    <n v="1"/>
    <n v="0"/>
    <n v="1"/>
    <x v="1"/>
  </r>
  <r>
    <s v="CUST-0100"/>
    <x v="2"/>
    <x v="0"/>
    <s v="Real Estate"/>
    <x v="2"/>
    <n v="17"/>
    <n v="677"/>
    <x v="4"/>
    <s v="Europe"/>
    <d v="2023-06-11T00:00:00"/>
    <x v="1"/>
    <s v="NULL"/>
    <x v="1"/>
    <n v="1"/>
    <n v="4"/>
    <n v="17"/>
    <s v="No"/>
    <n v="0"/>
    <n v="1"/>
    <n v="1"/>
    <n v="0"/>
    <n v="2"/>
    <x v="0"/>
  </r>
  <r>
    <s v="CUST-0101"/>
    <x v="1"/>
    <x v="0"/>
    <s v="Legal"/>
    <x v="3"/>
    <n v="2"/>
    <n v="33"/>
    <x v="0"/>
    <s v="North America"/>
    <d v="2024-12-03T00:00:00"/>
    <x v="0"/>
    <s v="2025-01-28"/>
    <x v="5"/>
    <n v="6"/>
    <n v="3"/>
    <n v="15"/>
    <s v="No"/>
    <n v="1"/>
    <n v="1"/>
    <n v="1"/>
    <n v="0"/>
    <n v="2"/>
    <x v="0"/>
  </r>
  <r>
    <s v="CUST-0102"/>
    <x v="0"/>
    <x v="0"/>
    <s v="Consulting"/>
    <x v="1"/>
    <n v="62"/>
    <n v="802"/>
    <x v="3"/>
    <s v="Latin America"/>
    <d v="2023-11-03T00:00:00"/>
    <x v="1"/>
    <s v="NULL"/>
    <x v="1"/>
    <n v="11"/>
    <n v="7"/>
    <n v="88"/>
    <s v="No"/>
    <n v="0"/>
    <n v="0"/>
    <n v="0"/>
    <n v="1"/>
    <n v="1"/>
    <x v="1"/>
  </r>
  <r>
    <s v="CUST-0103"/>
    <x v="0"/>
    <x v="0"/>
    <s v="Consulting"/>
    <x v="3"/>
    <n v="4"/>
    <n v="115"/>
    <x v="5"/>
    <s v="Europe"/>
    <d v="2024-04-24T00:00:00"/>
    <x v="1"/>
    <s v="NULL"/>
    <x v="1"/>
    <n v="0"/>
    <n v="6"/>
    <n v="32"/>
    <s v="No"/>
    <n v="0"/>
    <n v="1"/>
    <n v="1"/>
    <n v="0"/>
    <n v="2"/>
    <x v="0"/>
  </r>
  <r>
    <s v="CUST-0104"/>
    <x v="2"/>
    <x v="0"/>
    <s v="Education"/>
    <x v="2"/>
    <n v="17"/>
    <n v="677"/>
    <x v="0"/>
    <s v="Europe"/>
    <d v="2024-11-30T00:00:00"/>
    <x v="0"/>
    <s v="2025-05-31"/>
    <x v="4"/>
    <n v="12"/>
    <n v="1"/>
    <n v="30"/>
    <s v="No"/>
    <n v="1"/>
    <n v="1"/>
    <n v="1"/>
    <n v="1"/>
    <n v="3"/>
    <x v="0"/>
  </r>
  <r>
    <s v="CUST-0105"/>
    <x v="0"/>
    <x v="0"/>
    <s v="Manufacturing"/>
    <x v="4"/>
    <n v="42"/>
    <n v="565"/>
    <x v="4"/>
    <s v="Latin America"/>
    <d v="2023-12-21T00:00:00"/>
    <x v="1"/>
    <s v="NULL"/>
    <x v="1"/>
    <n v="6"/>
    <n v="5"/>
    <n v="53"/>
    <s v="Yes"/>
    <n v="0"/>
    <n v="0"/>
    <n v="1"/>
    <n v="0"/>
    <n v="1"/>
    <x v="1"/>
  </r>
  <r>
    <s v="CUST-0106"/>
    <x v="1"/>
    <x v="0"/>
    <s v="Retail"/>
    <x v="3"/>
    <n v="1"/>
    <n v="29"/>
    <x v="3"/>
    <s v="Asia Pacific"/>
    <d v="2024-11-18T00:00:00"/>
    <x v="0"/>
    <s v="2025-02-24"/>
    <x v="2"/>
    <n v="4"/>
    <n v="3"/>
    <n v="20"/>
    <s v="No"/>
    <n v="1"/>
    <n v="1"/>
    <n v="1"/>
    <n v="0"/>
    <n v="2"/>
    <x v="0"/>
  </r>
  <r>
    <s v="CUST-0107"/>
    <x v="2"/>
    <x v="0"/>
    <s v="Legal"/>
    <x v="1"/>
    <n v="139"/>
    <n v="4318"/>
    <x v="3"/>
    <s v="Europe"/>
    <d v="2022-08-18T00:00:00"/>
    <x v="0"/>
    <s v="2024-05-09"/>
    <x v="6"/>
    <n v="11"/>
    <n v="2"/>
    <n v="24"/>
    <s v="No"/>
    <n v="1"/>
    <n v="1"/>
    <n v="1"/>
    <n v="1"/>
    <n v="3"/>
    <x v="0"/>
  </r>
  <r>
    <s v="CUST-0108"/>
    <x v="2"/>
    <x v="1"/>
    <s v="Consulting"/>
    <x v="0"/>
    <n v="30"/>
    <n v="905"/>
    <x v="0"/>
    <s v="North America"/>
    <d v="2025-08-16T00:00:00"/>
    <x v="1"/>
    <s v="NULL"/>
    <x v="1"/>
    <n v="11"/>
    <n v="5"/>
    <n v="48"/>
    <s v="No"/>
    <n v="0"/>
    <n v="1"/>
    <n v="1"/>
    <n v="1"/>
    <n v="3"/>
    <x v="0"/>
  </r>
  <r>
    <s v="CUST-0109"/>
    <x v="2"/>
    <x v="1"/>
    <s v="Finance"/>
    <x v="0"/>
    <n v="16"/>
    <n v="550"/>
    <x v="0"/>
    <s v="Asia Pacific"/>
    <d v="2022-11-03T00:00:00"/>
    <x v="1"/>
    <s v="NULL"/>
    <x v="1"/>
    <n v="0"/>
    <n v="9"/>
    <n v="57"/>
    <s v="No"/>
    <n v="0"/>
    <n v="0"/>
    <n v="0"/>
    <n v="0"/>
    <n v="0"/>
    <x v="2"/>
  </r>
  <r>
    <s v="CUST-0110"/>
    <x v="0"/>
    <x v="1"/>
    <s v="Retail"/>
    <x v="4"/>
    <n v="58"/>
    <n v="641"/>
    <x v="3"/>
    <s v="Europe"/>
    <d v="2023-10-02T00:00:00"/>
    <x v="0"/>
    <s v="2025-05-01"/>
    <x v="7"/>
    <n v="12"/>
    <n v="3"/>
    <n v="38"/>
    <s v="No"/>
    <n v="1"/>
    <n v="1"/>
    <n v="1"/>
    <n v="1"/>
    <n v="3"/>
    <x v="0"/>
  </r>
  <r>
    <s v="CUST-0111"/>
    <x v="1"/>
    <x v="1"/>
    <s v="Consulting"/>
    <x v="2"/>
    <n v="5"/>
    <n v="39"/>
    <x v="2"/>
    <s v="Europe"/>
    <d v="2022-12-22T00:00:00"/>
    <x v="0"/>
    <s v="2023-11-12"/>
    <x v="3"/>
    <n v="15"/>
    <n v="5"/>
    <n v="29"/>
    <s v="No"/>
    <n v="1"/>
    <n v="1"/>
    <n v="1"/>
    <n v="1"/>
    <n v="3"/>
    <x v="0"/>
  </r>
  <r>
    <s v="CUST-0112"/>
    <x v="0"/>
    <x v="0"/>
    <s v="Finance"/>
    <x v="4"/>
    <n v="42"/>
    <n v="565"/>
    <x v="1"/>
    <s v="North America"/>
    <d v="2022-01-27T00:00:00"/>
    <x v="0"/>
    <s v="2022-05-07"/>
    <x v="4"/>
    <n v="7"/>
    <n v="2"/>
    <n v="40"/>
    <s v="No"/>
    <n v="1"/>
    <n v="1"/>
    <n v="1"/>
    <n v="0"/>
    <n v="2"/>
    <x v="0"/>
  </r>
  <r>
    <s v="CUST-0113"/>
    <x v="2"/>
    <x v="0"/>
    <s v="Consulting"/>
    <x v="2"/>
    <n v="20"/>
    <n v="766"/>
    <x v="3"/>
    <s v="North America"/>
    <d v="2023-06-10T00:00:00"/>
    <x v="0"/>
    <s v="2023-10-31"/>
    <x v="5"/>
    <n v="3"/>
    <n v="4"/>
    <n v="22"/>
    <s v="No"/>
    <n v="1"/>
    <n v="1"/>
    <n v="1"/>
    <n v="0"/>
    <n v="2"/>
    <x v="0"/>
  </r>
  <r>
    <s v="CUST-0114"/>
    <x v="1"/>
    <x v="0"/>
    <s v="Technology"/>
    <x v="1"/>
    <n v="235"/>
    <n v="1047"/>
    <x v="3"/>
    <s v="Asia Pacific"/>
    <d v="2022-06-06T00:00:00"/>
    <x v="0"/>
    <s v="2022-06-19"/>
    <x v="5"/>
    <n v="11"/>
    <n v="1"/>
    <n v="23"/>
    <s v="No"/>
    <n v="1"/>
    <n v="1"/>
    <n v="1"/>
    <n v="1"/>
    <n v="3"/>
    <x v="0"/>
  </r>
  <r>
    <s v="CUST-0115"/>
    <x v="1"/>
    <x v="1"/>
    <s v="Legal"/>
    <x v="4"/>
    <n v="31"/>
    <n v="136"/>
    <x v="0"/>
    <s v="Latin America"/>
    <d v="2024-08-28T00:00:00"/>
    <x v="1"/>
    <s v="NULL"/>
    <x v="1"/>
    <n v="0"/>
    <n v="5"/>
    <n v="75"/>
    <s v="No"/>
    <n v="0"/>
    <n v="0"/>
    <n v="1"/>
    <n v="0"/>
    <n v="1"/>
    <x v="1"/>
  </r>
  <r>
    <s v="CUST-0116"/>
    <x v="0"/>
    <x v="0"/>
    <s v="Technology"/>
    <x v="0"/>
    <n v="16"/>
    <n v="257"/>
    <x v="0"/>
    <s v="North America"/>
    <d v="2025-09-03T00:00:00"/>
    <x v="1"/>
    <s v="NULL"/>
    <x v="1"/>
    <n v="0"/>
    <n v="2"/>
    <n v="25"/>
    <s v="No"/>
    <n v="0"/>
    <n v="1"/>
    <n v="1"/>
    <n v="0"/>
    <n v="2"/>
    <x v="0"/>
  </r>
  <r>
    <s v="CUST-0117"/>
    <x v="0"/>
    <x v="1"/>
    <s v="Media"/>
    <x v="0"/>
    <n v="25"/>
    <n v="309"/>
    <x v="4"/>
    <s v="Asia Pacific"/>
    <d v="2024-03-13T00:00:00"/>
    <x v="0"/>
    <s v="2025-06-14"/>
    <x v="4"/>
    <n v="0"/>
    <n v="2"/>
    <n v="28"/>
    <s v="No"/>
    <n v="1"/>
    <n v="1"/>
    <n v="1"/>
    <n v="0"/>
    <n v="2"/>
    <x v="0"/>
  </r>
  <r>
    <s v="CUST-0118"/>
    <x v="0"/>
    <x v="0"/>
    <s v="Manufacturing"/>
    <x v="2"/>
    <n v="17"/>
    <n v="269"/>
    <x v="2"/>
    <s v="Europe"/>
    <d v="2024-12-31T00:00:00"/>
    <x v="0"/>
    <s v="2025-03-14"/>
    <x v="6"/>
    <n v="0"/>
    <n v="5"/>
    <n v="25"/>
    <s v="No"/>
    <n v="1"/>
    <n v="1"/>
    <n v="1"/>
    <n v="0"/>
    <n v="2"/>
    <x v="0"/>
  </r>
  <r>
    <s v="CUST-0119"/>
    <x v="0"/>
    <x v="0"/>
    <s v="Education"/>
    <x v="2"/>
    <n v="28"/>
    <n v="399"/>
    <x v="0"/>
    <s v="North America"/>
    <d v="2022-11-01T00:00:00"/>
    <x v="1"/>
    <s v="NULL"/>
    <x v="1"/>
    <n v="9"/>
    <n v="8"/>
    <n v="44"/>
    <s v="No"/>
    <n v="0"/>
    <n v="1"/>
    <n v="0"/>
    <n v="0"/>
    <n v="1"/>
    <x v="1"/>
  </r>
  <r>
    <s v="CUST-0120"/>
    <x v="0"/>
    <x v="1"/>
    <s v="Finance"/>
    <x v="3"/>
    <n v="2"/>
    <n v="77"/>
    <x v="2"/>
    <s v="North America"/>
    <d v="2022-03-26T00:00:00"/>
    <x v="1"/>
    <s v="NULL"/>
    <x v="1"/>
    <n v="3"/>
    <n v="4"/>
    <n v="22"/>
    <s v="No"/>
    <n v="0"/>
    <n v="1"/>
    <n v="1"/>
    <n v="0"/>
    <n v="2"/>
    <x v="0"/>
  </r>
  <r>
    <s v="CUST-0121"/>
    <x v="1"/>
    <x v="1"/>
    <s v="Media"/>
    <x v="2"/>
    <n v="32"/>
    <n v="139"/>
    <x v="0"/>
    <s v="North America"/>
    <d v="2025-07-18T00:00:00"/>
    <x v="1"/>
    <s v="NULL"/>
    <x v="1"/>
    <n v="6"/>
    <n v="2"/>
    <n v="81"/>
    <s v="No"/>
    <n v="0"/>
    <n v="0"/>
    <n v="1"/>
    <n v="0"/>
    <n v="1"/>
    <x v="1"/>
  </r>
  <r>
    <s v="CUST-0122"/>
    <x v="2"/>
    <x v="0"/>
    <s v="Manufacturing"/>
    <x v="0"/>
    <n v="72"/>
    <n v="2318"/>
    <x v="4"/>
    <s v="North America"/>
    <d v="2024-07-07T00:00:00"/>
    <x v="1"/>
    <s v="NULL"/>
    <x v="1"/>
    <n v="4"/>
    <n v="7"/>
    <n v="50"/>
    <s v="Yes"/>
    <n v="0"/>
    <n v="0"/>
    <n v="0"/>
    <n v="0"/>
    <n v="0"/>
    <x v="2"/>
  </r>
  <r>
    <s v="CUST-0123"/>
    <x v="1"/>
    <x v="1"/>
    <s v="Healthcare"/>
    <x v="0"/>
    <n v="26"/>
    <n v="117"/>
    <x v="0"/>
    <s v="Asia Pacific"/>
    <d v="2024-07-13T00:00:00"/>
    <x v="1"/>
    <s v="NULL"/>
    <x v="1"/>
    <n v="4"/>
    <n v="4"/>
    <n v="48"/>
    <s v="No"/>
    <n v="0"/>
    <n v="1"/>
    <n v="1"/>
    <n v="0"/>
    <n v="2"/>
    <x v="0"/>
  </r>
  <r>
    <s v="CUST-0124"/>
    <x v="0"/>
    <x v="0"/>
    <s v="Legal"/>
    <x v="0"/>
    <n v="71"/>
    <n v="909"/>
    <x v="3"/>
    <s v="North America"/>
    <d v="2022-12-15T00:00:00"/>
    <x v="1"/>
    <s v="NULL"/>
    <x v="1"/>
    <n v="2"/>
    <n v="5"/>
    <n v="31"/>
    <s v="No"/>
    <n v="0"/>
    <n v="1"/>
    <n v="1"/>
    <n v="0"/>
    <n v="2"/>
    <x v="0"/>
  </r>
  <r>
    <s v="CUST-0125"/>
    <x v="2"/>
    <x v="1"/>
    <s v="Legal"/>
    <x v="3"/>
    <n v="4"/>
    <n v="245"/>
    <x v="4"/>
    <s v="Europe"/>
    <d v="2025-03-12T00:00:00"/>
    <x v="1"/>
    <s v="NULL"/>
    <x v="1"/>
    <n v="11"/>
    <n v="6"/>
    <n v="36"/>
    <s v="Yes"/>
    <n v="0"/>
    <n v="1"/>
    <n v="1"/>
    <n v="1"/>
    <n v="3"/>
    <x v="0"/>
  </r>
  <r>
    <s v="CUST-0126"/>
    <x v="0"/>
    <x v="0"/>
    <s v="Healthcare"/>
    <x v="2"/>
    <n v="20"/>
    <n v="304"/>
    <x v="0"/>
    <s v="North America"/>
    <d v="2023-06-14T00:00:00"/>
    <x v="1"/>
    <s v="NULL"/>
    <x v="1"/>
    <n v="1"/>
    <n v="5"/>
    <n v="40"/>
    <s v="Yes"/>
    <n v="0"/>
    <n v="1"/>
    <n v="1"/>
    <n v="0"/>
    <n v="2"/>
    <x v="0"/>
  </r>
  <r>
    <s v="CUST-0127"/>
    <x v="1"/>
    <x v="0"/>
    <s v="Consulting"/>
    <x v="2"/>
    <n v="27"/>
    <n v="142"/>
    <x v="4"/>
    <s v="North America"/>
    <d v="2024-12-10T00:00:00"/>
    <x v="0"/>
    <s v="2025-01-15"/>
    <x v="5"/>
    <n v="3"/>
    <n v="3"/>
    <n v="38"/>
    <s v="No"/>
    <n v="1"/>
    <n v="1"/>
    <n v="1"/>
    <n v="0"/>
    <n v="2"/>
    <x v="0"/>
  </r>
  <r>
    <s v="CUST-0128"/>
    <x v="1"/>
    <x v="0"/>
    <s v="Retail"/>
    <x v="4"/>
    <n v="46"/>
    <n v="225"/>
    <x v="4"/>
    <s v="Asia Pacific"/>
    <d v="2022-12-30T00:00:00"/>
    <x v="0"/>
    <s v="2023-04-24"/>
    <x v="6"/>
    <n v="10"/>
    <n v="2"/>
    <n v="33"/>
    <s v="No"/>
    <n v="1"/>
    <n v="1"/>
    <n v="1"/>
    <n v="0"/>
    <n v="2"/>
    <x v="0"/>
  </r>
  <r>
    <s v="CUST-0129"/>
    <x v="1"/>
    <x v="0"/>
    <s v="Finance"/>
    <x v="0"/>
    <n v="31"/>
    <n v="160"/>
    <x v="3"/>
    <s v="North America"/>
    <d v="2022-08-24T00:00:00"/>
    <x v="0"/>
    <s v="2022-09-27"/>
    <x v="7"/>
    <n v="10"/>
    <n v="4"/>
    <n v="22"/>
    <s v="No"/>
    <n v="1"/>
    <n v="1"/>
    <n v="1"/>
    <n v="0"/>
    <n v="2"/>
    <x v="0"/>
  </r>
  <r>
    <s v="CUST-0130"/>
    <x v="0"/>
    <x v="0"/>
    <s v="Manufacturing"/>
    <x v="3"/>
    <n v="8"/>
    <n v="162"/>
    <x v="0"/>
    <s v="Latin America"/>
    <d v="2025-07-04T00:00:00"/>
    <x v="1"/>
    <s v="NULL"/>
    <x v="1"/>
    <n v="6"/>
    <n v="1"/>
    <n v="68"/>
    <s v="No"/>
    <n v="0"/>
    <n v="0"/>
    <n v="1"/>
    <n v="0"/>
    <n v="1"/>
    <x v="1"/>
  </r>
  <r>
    <s v="CUST-0131"/>
    <x v="2"/>
    <x v="1"/>
    <s v="Legal"/>
    <x v="2"/>
    <n v="6"/>
    <n v="296"/>
    <x v="2"/>
    <s v="Latin America"/>
    <d v="2025-01-02T00:00:00"/>
    <x v="1"/>
    <s v="NULL"/>
    <x v="1"/>
    <n v="11"/>
    <n v="9"/>
    <n v="36"/>
    <s v="No"/>
    <n v="0"/>
    <n v="1"/>
    <n v="0"/>
    <n v="1"/>
    <n v="2"/>
    <x v="0"/>
  </r>
  <r>
    <s v="CUST-0132"/>
    <x v="1"/>
    <x v="1"/>
    <s v="Consulting"/>
    <x v="3"/>
    <n v="8"/>
    <n v="51"/>
    <x v="5"/>
    <s v="North America"/>
    <d v="2025-10-20T00:00:00"/>
    <x v="1"/>
    <s v="NULL"/>
    <x v="1"/>
    <n v="7"/>
    <n v="3"/>
    <n v="90"/>
    <s v="No"/>
    <n v="0"/>
    <n v="0"/>
    <n v="1"/>
    <n v="0"/>
    <n v="1"/>
    <x v="1"/>
  </r>
  <r>
    <s v="CUST-0133"/>
    <x v="3"/>
    <x v="0"/>
    <s v="Consulting"/>
    <x v="3"/>
    <n v="1"/>
    <n v="499"/>
    <x v="3"/>
    <s v="North America"/>
    <d v="2025-03-11T00:00:00"/>
    <x v="1"/>
    <s v="NULL"/>
    <x v="1"/>
    <n v="7"/>
    <n v="8"/>
    <n v="22"/>
    <s v="No"/>
    <n v="0"/>
    <n v="1"/>
    <n v="0"/>
    <n v="0"/>
    <n v="1"/>
    <x v="1"/>
  </r>
  <r>
    <s v="CUST-0134"/>
    <x v="2"/>
    <x v="1"/>
    <s v="Manufacturing"/>
    <x v="0"/>
    <n v="71"/>
    <n v="1945"/>
    <x v="3"/>
    <s v="Latin America"/>
    <d v="2022-02-15T00:00:00"/>
    <x v="0"/>
    <s v="2025-07-10"/>
    <x v="7"/>
    <n v="11"/>
    <n v="5"/>
    <n v="31"/>
    <s v="No"/>
    <n v="1"/>
    <n v="1"/>
    <n v="1"/>
    <n v="1"/>
    <n v="3"/>
    <x v="0"/>
  </r>
  <r>
    <s v="CUST-0135"/>
    <x v="0"/>
    <x v="0"/>
    <s v="Retail"/>
    <x v="2"/>
    <n v="25"/>
    <n v="363"/>
    <x v="4"/>
    <s v="Asia Pacific"/>
    <d v="2022-08-16T00:00:00"/>
    <x v="1"/>
    <s v="NULL"/>
    <x v="1"/>
    <n v="5"/>
    <n v="9"/>
    <n v="85"/>
    <s v="No"/>
    <n v="0"/>
    <n v="0"/>
    <n v="0"/>
    <n v="0"/>
    <n v="0"/>
    <x v="2"/>
  </r>
  <r>
    <s v="CUST-0136"/>
    <x v="0"/>
    <x v="1"/>
    <s v="Technology"/>
    <x v="1"/>
    <n v="106"/>
    <n v="1125"/>
    <x v="2"/>
    <s v="North America"/>
    <d v="2022-03-06T00:00:00"/>
    <x v="1"/>
    <s v="NULL"/>
    <x v="1"/>
    <n v="4"/>
    <n v="4"/>
    <n v="87"/>
    <s v="No"/>
    <n v="0"/>
    <n v="0"/>
    <n v="1"/>
    <n v="0"/>
    <n v="1"/>
    <x v="1"/>
  </r>
  <r>
    <s v="CUST-0137"/>
    <x v="1"/>
    <x v="1"/>
    <s v="Real Estate"/>
    <x v="2"/>
    <n v="9"/>
    <n v="54"/>
    <x v="0"/>
    <s v="North America"/>
    <d v="2023-05-07T00:00:00"/>
    <x v="0"/>
    <s v="2024-02-16"/>
    <x v="2"/>
    <n v="4"/>
    <n v="2"/>
    <n v="41"/>
    <s v="No"/>
    <n v="1"/>
    <n v="1"/>
    <n v="1"/>
    <n v="0"/>
    <n v="2"/>
    <x v="0"/>
  </r>
  <r>
    <s v="CUST-0138"/>
    <x v="1"/>
    <x v="0"/>
    <s v="Healthcare"/>
    <x v="2"/>
    <n v="21"/>
    <n v="116"/>
    <x v="1"/>
    <s v="Europe"/>
    <d v="2022-08-01T00:00:00"/>
    <x v="0"/>
    <s v="2022-09-08"/>
    <x v="0"/>
    <n v="1"/>
    <n v="3"/>
    <n v="19"/>
    <s v="No"/>
    <n v="1"/>
    <n v="1"/>
    <n v="1"/>
    <n v="0"/>
    <n v="2"/>
    <x v="0"/>
  </r>
  <r>
    <s v="CUST-0139"/>
    <x v="1"/>
    <x v="0"/>
    <s v="Finance"/>
    <x v="2"/>
    <n v="5"/>
    <n v="46"/>
    <x v="3"/>
    <s v="North America"/>
    <d v="2025-01-06T00:00:00"/>
    <x v="0"/>
    <s v="2025-12-19"/>
    <x v="4"/>
    <n v="7"/>
    <n v="3"/>
    <n v="22"/>
    <s v="No"/>
    <n v="1"/>
    <n v="1"/>
    <n v="1"/>
    <n v="0"/>
    <n v="2"/>
    <x v="0"/>
  </r>
  <r>
    <s v="CUST-0140"/>
    <x v="1"/>
    <x v="0"/>
    <s v="Retail"/>
    <x v="4"/>
    <n v="131"/>
    <n v="595"/>
    <x v="2"/>
    <s v="North America"/>
    <d v="2022-02-21T00:00:00"/>
    <x v="0"/>
    <s v="2022-07-22"/>
    <x v="5"/>
    <n v="9"/>
    <n v="3"/>
    <n v="16"/>
    <s v="No"/>
    <n v="1"/>
    <n v="1"/>
    <n v="1"/>
    <n v="0"/>
    <n v="2"/>
    <x v="0"/>
  </r>
  <r>
    <s v="CUST-0141"/>
    <x v="2"/>
    <x v="1"/>
    <s v="Legal"/>
    <x v="0"/>
    <n v="18"/>
    <n v="600"/>
    <x v="4"/>
    <s v="North America"/>
    <d v="2024-03-17T00:00:00"/>
    <x v="1"/>
    <s v="NULL"/>
    <x v="1"/>
    <n v="8"/>
    <n v="4"/>
    <n v="33"/>
    <s v="No"/>
    <n v="0"/>
    <n v="1"/>
    <n v="1"/>
    <n v="0"/>
    <n v="2"/>
    <x v="0"/>
  </r>
  <r>
    <s v="CUST-0142"/>
    <x v="1"/>
    <x v="1"/>
    <s v="Education"/>
    <x v="0"/>
    <n v="28"/>
    <n v="124"/>
    <x v="5"/>
    <s v="North America"/>
    <d v="2024-08-30T00:00:00"/>
    <x v="1"/>
    <s v="NULL"/>
    <x v="1"/>
    <n v="8"/>
    <n v="3"/>
    <n v="32"/>
    <s v="No"/>
    <n v="0"/>
    <n v="1"/>
    <n v="1"/>
    <n v="0"/>
    <n v="2"/>
    <x v="0"/>
  </r>
  <r>
    <s v="CUST-0143"/>
    <x v="2"/>
    <x v="1"/>
    <s v="Finance"/>
    <x v="3"/>
    <n v="7"/>
    <n v="321"/>
    <x v="0"/>
    <s v="North America"/>
    <d v="2025-09-28T00:00:00"/>
    <x v="1"/>
    <s v="NULL"/>
    <x v="1"/>
    <n v="12"/>
    <n v="1"/>
    <n v="43"/>
    <s v="No"/>
    <n v="0"/>
    <n v="1"/>
    <n v="1"/>
    <n v="1"/>
    <n v="3"/>
    <x v="0"/>
  </r>
  <r>
    <s v="CUST-0144"/>
    <x v="1"/>
    <x v="0"/>
    <s v="Real Estate"/>
    <x v="3"/>
    <n v="6"/>
    <n v="51"/>
    <x v="0"/>
    <s v="North America"/>
    <d v="2023-04-02T00:00:00"/>
    <x v="0"/>
    <s v="2023-07-22"/>
    <x v="7"/>
    <n v="3"/>
    <n v="1"/>
    <n v="44"/>
    <s v="No"/>
    <n v="1"/>
    <n v="1"/>
    <n v="1"/>
    <n v="0"/>
    <n v="2"/>
    <x v="0"/>
  </r>
  <r>
    <s v="CUST-0145"/>
    <x v="0"/>
    <x v="1"/>
    <s v="Finance"/>
    <x v="2"/>
    <n v="8"/>
    <n v="138"/>
    <x v="1"/>
    <s v="North America"/>
    <d v="2023-12-17T00:00:00"/>
    <x v="0"/>
    <s v="2024-11-17"/>
    <x v="2"/>
    <n v="3"/>
    <n v="3"/>
    <n v="30"/>
    <s v="No"/>
    <n v="1"/>
    <n v="1"/>
    <n v="1"/>
    <n v="0"/>
    <n v="2"/>
    <x v="0"/>
  </r>
  <r>
    <s v="CUST-0146"/>
    <x v="3"/>
    <x v="0"/>
    <s v="Legal"/>
    <x v="2"/>
    <n v="15"/>
    <n v="1547"/>
    <x v="0"/>
    <s v="North America"/>
    <d v="2022-06-27T00:00:00"/>
    <x v="1"/>
    <s v="NULL"/>
    <x v="1"/>
    <n v="1"/>
    <n v="5"/>
    <n v="61"/>
    <s v="No"/>
    <n v="0"/>
    <n v="0"/>
    <n v="1"/>
    <n v="0"/>
    <n v="1"/>
    <x v="1"/>
  </r>
  <r>
    <s v="CUST-0147"/>
    <x v="1"/>
    <x v="1"/>
    <s v="Manufacturing"/>
    <x v="3"/>
    <n v="6"/>
    <n v="43"/>
    <x v="4"/>
    <s v="North America"/>
    <d v="2023-10-05T00:00:00"/>
    <x v="0"/>
    <s v="2023-11-21"/>
    <x v="0"/>
    <n v="5"/>
    <n v="3"/>
    <n v="15"/>
    <s v="No"/>
    <n v="1"/>
    <n v="1"/>
    <n v="1"/>
    <n v="0"/>
    <n v="2"/>
    <x v="0"/>
  </r>
  <r>
    <s v="CUST-0148"/>
    <x v="3"/>
    <x v="0"/>
    <s v="Media"/>
    <x v="0"/>
    <n v="73"/>
    <n v="5888"/>
    <x v="0"/>
    <s v="Europe"/>
    <d v="2025-02-26T00:00:00"/>
    <x v="1"/>
    <s v="NULL"/>
    <x v="1"/>
    <n v="5"/>
    <n v="2"/>
    <n v="54"/>
    <s v="No"/>
    <n v="0"/>
    <n v="0"/>
    <n v="1"/>
    <n v="0"/>
    <n v="1"/>
    <x v="1"/>
  </r>
  <r>
    <s v="CUST-0149"/>
    <x v="0"/>
    <x v="0"/>
    <s v="Manufacturing"/>
    <x v="3"/>
    <n v="1"/>
    <n v="79"/>
    <x v="1"/>
    <s v="North America"/>
    <d v="2025-07-28T00:00:00"/>
    <x v="1"/>
    <s v="NULL"/>
    <x v="1"/>
    <n v="11"/>
    <n v="6"/>
    <n v="74"/>
    <s v="No"/>
    <n v="0"/>
    <n v="0"/>
    <n v="1"/>
    <n v="1"/>
    <n v="2"/>
    <x v="0"/>
  </r>
  <r>
    <s v="CUST-0150"/>
    <x v="0"/>
    <x v="0"/>
    <s v="Manufacturing"/>
    <x v="2"/>
    <n v="26"/>
    <n v="375"/>
    <x v="0"/>
    <s v="Latin America"/>
    <d v="2023-07-02T00:00:00"/>
    <x v="0"/>
    <s v="2024-02-24"/>
    <x v="0"/>
    <n v="13"/>
    <n v="1"/>
    <n v="29"/>
    <s v="No"/>
    <n v="1"/>
    <n v="1"/>
    <n v="1"/>
    <n v="1"/>
    <n v="3"/>
    <x v="0"/>
  </r>
  <r>
    <s v="CUST-0151"/>
    <x v="1"/>
    <x v="0"/>
    <s v="Retail"/>
    <x v="3"/>
    <n v="5"/>
    <n v="46"/>
    <x v="5"/>
    <s v="North America"/>
    <d v="2024-05-26T00:00:00"/>
    <x v="0"/>
    <s v="2024-12-06"/>
    <x v="6"/>
    <n v="7"/>
    <n v="5"/>
    <n v="15"/>
    <s v="No"/>
    <n v="1"/>
    <n v="1"/>
    <n v="1"/>
    <n v="0"/>
    <n v="2"/>
    <x v="0"/>
  </r>
  <r>
    <s v="CUST-0152"/>
    <x v="2"/>
    <x v="1"/>
    <s v="Retail"/>
    <x v="1"/>
    <n v="199"/>
    <n v="5193"/>
    <x v="2"/>
    <s v="North America"/>
    <d v="2023-06-09T00:00:00"/>
    <x v="0"/>
    <s v="2024-08-22"/>
    <x v="2"/>
    <n v="4"/>
    <n v="5"/>
    <n v="36"/>
    <s v="No"/>
    <n v="1"/>
    <n v="1"/>
    <n v="1"/>
    <n v="0"/>
    <n v="2"/>
    <x v="0"/>
  </r>
  <r>
    <s v="CUST-0153"/>
    <x v="1"/>
    <x v="0"/>
    <s v="Retail"/>
    <x v="3"/>
    <n v="6"/>
    <n v="51"/>
    <x v="2"/>
    <s v="North America"/>
    <d v="2025-05-09T00:00:00"/>
    <x v="0"/>
    <s v="2025-11-30"/>
    <x v="4"/>
    <n v="8"/>
    <n v="4"/>
    <n v="18"/>
    <s v="No"/>
    <n v="1"/>
    <n v="1"/>
    <n v="1"/>
    <n v="0"/>
    <n v="2"/>
    <x v="0"/>
  </r>
  <r>
    <s v="CUST-0154"/>
    <x v="0"/>
    <x v="1"/>
    <s v="Legal"/>
    <x v="3"/>
    <n v="1"/>
    <n v="67"/>
    <x v="2"/>
    <s v="Europe"/>
    <d v="2024-08-11T00:00:00"/>
    <x v="0"/>
    <s v="2025-02-26"/>
    <x v="2"/>
    <n v="1"/>
    <n v="5"/>
    <n v="14"/>
    <s v="No"/>
    <n v="1"/>
    <n v="1"/>
    <n v="1"/>
    <n v="0"/>
    <n v="2"/>
    <x v="0"/>
  </r>
  <r>
    <s v="CUST-0155"/>
    <x v="1"/>
    <x v="0"/>
    <s v="Consulting"/>
    <x v="1"/>
    <n v="230"/>
    <n v="1025"/>
    <x v="3"/>
    <s v="Asia Pacific"/>
    <d v="2022-10-14T00:00:00"/>
    <x v="0"/>
    <s v="2024-04-03"/>
    <x v="0"/>
    <n v="6"/>
    <n v="2"/>
    <n v="35"/>
    <s v="No"/>
    <n v="1"/>
    <n v="1"/>
    <n v="1"/>
    <n v="0"/>
    <n v="2"/>
    <x v="0"/>
  </r>
  <r>
    <s v="CUST-0156"/>
    <x v="2"/>
    <x v="0"/>
    <s v="Healthcare"/>
    <x v="2"/>
    <n v="7"/>
    <n v="378"/>
    <x v="0"/>
    <s v="North America"/>
    <d v="2024-09-20T00:00:00"/>
    <x v="1"/>
    <s v="NULL"/>
    <x v="1"/>
    <n v="4"/>
    <n v="5"/>
    <n v="83"/>
    <s v="No"/>
    <n v="0"/>
    <n v="0"/>
    <n v="1"/>
    <n v="0"/>
    <n v="1"/>
    <x v="1"/>
  </r>
  <r>
    <s v="CUST-0157"/>
    <x v="0"/>
    <x v="1"/>
    <s v="Education"/>
    <x v="3"/>
    <n v="5"/>
    <n v="107"/>
    <x v="1"/>
    <s v="Europe"/>
    <d v="2023-08-06T00:00:00"/>
    <x v="1"/>
    <s v="NULL"/>
    <x v="1"/>
    <n v="9"/>
    <n v="2"/>
    <n v="80"/>
    <s v="No"/>
    <n v="0"/>
    <n v="0"/>
    <n v="1"/>
    <n v="0"/>
    <n v="1"/>
    <x v="1"/>
  </r>
  <r>
    <s v="CUST-0158"/>
    <x v="3"/>
    <x v="0"/>
    <s v="Technology"/>
    <x v="2"/>
    <n v="20"/>
    <n v="1921"/>
    <x v="0"/>
    <s v="Latin America"/>
    <d v="2023-04-18T00:00:00"/>
    <x v="1"/>
    <s v="NULL"/>
    <x v="1"/>
    <n v="6"/>
    <n v="2"/>
    <n v="35"/>
    <s v="No"/>
    <n v="0"/>
    <n v="1"/>
    <n v="1"/>
    <n v="0"/>
    <n v="2"/>
    <x v="0"/>
  </r>
  <r>
    <s v="CUST-0159"/>
    <x v="1"/>
    <x v="1"/>
    <s v="Manufacturing"/>
    <x v="0"/>
    <n v="66"/>
    <n v="265"/>
    <x v="3"/>
    <s v="Asia Pacific"/>
    <d v="2025-10-25T00:00:00"/>
    <x v="1"/>
    <s v="NULL"/>
    <x v="1"/>
    <n v="8"/>
    <n v="8"/>
    <n v="30"/>
    <s v="No"/>
    <n v="0"/>
    <n v="1"/>
    <n v="0"/>
    <n v="0"/>
    <n v="1"/>
    <x v="1"/>
  </r>
  <r>
    <s v="CUST-0160"/>
    <x v="0"/>
    <x v="1"/>
    <s v="Legal"/>
    <x v="0"/>
    <n v="71"/>
    <n v="772"/>
    <x v="0"/>
    <s v="Asia Pacific"/>
    <d v="2025-01-07T00:00:00"/>
    <x v="1"/>
    <s v="NULL"/>
    <x v="1"/>
    <n v="9"/>
    <n v="5"/>
    <n v="93"/>
    <s v="No"/>
    <n v="0"/>
    <n v="0"/>
    <n v="1"/>
    <n v="0"/>
    <n v="1"/>
    <x v="1"/>
  </r>
  <r>
    <s v="CUST-0161"/>
    <x v="2"/>
    <x v="1"/>
    <s v="Education"/>
    <x v="3"/>
    <n v="4"/>
    <n v="245"/>
    <x v="2"/>
    <s v="Europe"/>
    <d v="2024-12-11T00:00:00"/>
    <x v="0"/>
    <s v="2025-04-19"/>
    <x v="0"/>
    <n v="0"/>
    <n v="6"/>
    <n v="28"/>
    <s v="No"/>
    <n v="1"/>
    <n v="1"/>
    <n v="1"/>
    <n v="0"/>
    <n v="2"/>
    <x v="0"/>
  </r>
  <r>
    <s v="CUST-0162"/>
    <x v="1"/>
    <x v="0"/>
    <s v="Finance"/>
    <x v="1"/>
    <n v="150"/>
    <n v="677"/>
    <x v="4"/>
    <s v="Europe"/>
    <d v="2022-08-09T00:00:00"/>
    <x v="0"/>
    <s v="2023-11-26"/>
    <x v="4"/>
    <n v="0"/>
    <n v="3"/>
    <n v="44"/>
    <s v="No"/>
    <n v="1"/>
    <n v="1"/>
    <n v="1"/>
    <n v="0"/>
    <n v="2"/>
    <x v="0"/>
  </r>
  <r>
    <s v="CUST-0163"/>
    <x v="1"/>
    <x v="1"/>
    <s v="Manufacturing"/>
    <x v="3"/>
    <n v="2"/>
    <n v="28"/>
    <x v="4"/>
    <s v="Asia Pacific"/>
    <d v="2025-01-28T00:00:00"/>
    <x v="1"/>
    <s v="NULL"/>
    <x v="1"/>
    <n v="3"/>
    <n v="8"/>
    <n v="20"/>
    <s v="No"/>
    <n v="0"/>
    <n v="1"/>
    <n v="0"/>
    <n v="0"/>
    <n v="1"/>
    <x v="1"/>
  </r>
  <r>
    <s v="CUST-0164"/>
    <x v="1"/>
    <x v="1"/>
    <s v="Healthcare"/>
    <x v="1"/>
    <n v="220"/>
    <n v="834"/>
    <x v="0"/>
    <s v="Europe"/>
    <d v="2023-08-19T00:00:00"/>
    <x v="0"/>
    <s v="2025-06-11"/>
    <x v="3"/>
    <n v="4"/>
    <n v="3"/>
    <n v="12"/>
    <s v="No"/>
    <n v="1"/>
    <n v="1"/>
    <n v="1"/>
    <n v="0"/>
    <n v="2"/>
    <x v="0"/>
  </r>
  <r>
    <s v="CUST-0165"/>
    <x v="1"/>
    <x v="1"/>
    <s v="Real Estate"/>
    <x v="4"/>
    <n v="34"/>
    <n v="147"/>
    <x v="0"/>
    <s v="Asia Pacific"/>
    <d v="2024-07-15T00:00:00"/>
    <x v="1"/>
    <s v="NULL"/>
    <x v="1"/>
    <n v="12"/>
    <n v="5"/>
    <n v="60"/>
    <s v="No"/>
    <n v="0"/>
    <n v="0"/>
    <n v="1"/>
    <n v="1"/>
    <n v="2"/>
    <x v="0"/>
  </r>
  <r>
    <s v="CUST-0166"/>
    <x v="1"/>
    <x v="0"/>
    <s v="Healthcare"/>
    <x v="3"/>
    <n v="1"/>
    <n v="29"/>
    <x v="5"/>
    <s v="Europe"/>
    <d v="2023-09-18T00:00:00"/>
    <x v="0"/>
    <s v="2025-01-25"/>
    <x v="6"/>
    <n v="7"/>
    <n v="5"/>
    <n v="20"/>
    <s v="No"/>
    <n v="1"/>
    <n v="1"/>
    <n v="1"/>
    <n v="0"/>
    <n v="2"/>
    <x v="0"/>
  </r>
  <r>
    <s v="CUST-0167"/>
    <x v="1"/>
    <x v="1"/>
    <s v="Legal"/>
    <x v="0"/>
    <n v="40"/>
    <n v="169"/>
    <x v="0"/>
    <s v="North America"/>
    <d v="2024-12-24T00:00:00"/>
    <x v="1"/>
    <s v="NULL"/>
    <x v="1"/>
    <n v="10"/>
    <n v="6"/>
    <n v="35"/>
    <s v="No"/>
    <n v="0"/>
    <n v="1"/>
    <n v="1"/>
    <n v="0"/>
    <n v="2"/>
    <x v="0"/>
  </r>
  <r>
    <s v="CUST-0168"/>
    <x v="2"/>
    <x v="0"/>
    <s v="Legal"/>
    <x v="2"/>
    <n v="29"/>
    <n v="1035"/>
    <x v="2"/>
    <s v="Europe"/>
    <d v="2023-04-05T00:00:00"/>
    <x v="0"/>
    <s v="2023-04-29"/>
    <x v="6"/>
    <n v="12"/>
    <n v="6"/>
    <n v="45"/>
    <s v="No"/>
    <n v="1"/>
    <n v="1"/>
    <n v="1"/>
    <n v="1"/>
    <n v="3"/>
    <x v="0"/>
  </r>
  <r>
    <s v="CUST-0169"/>
    <x v="2"/>
    <x v="1"/>
    <s v="Consulting"/>
    <x v="2"/>
    <n v="5"/>
    <n v="271"/>
    <x v="4"/>
    <s v="North America"/>
    <d v="2023-12-06T00:00:00"/>
    <x v="1"/>
    <s v="NULL"/>
    <x v="1"/>
    <n v="0"/>
    <n v="1"/>
    <n v="55"/>
    <s v="Yes"/>
    <n v="0"/>
    <n v="0"/>
    <n v="1"/>
    <n v="0"/>
    <n v="1"/>
    <x v="1"/>
  </r>
  <r>
    <s v="CUST-0170"/>
    <x v="2"/>
    <x v="0"/>
    <s v="Media"/>
    <x v="2"/>
    <n v="32"/>
    <n v="1124"/>
    <x v="5"/>
    <s v="Asia Pacific"/>
    <d v="2024-10-17T00:00:00"/>
    <x v="1"/>
    <s v="NULL"/>
    <x v="1"/>
    <n v="1"/>
    <n v="1"/>
    <n v="91"/>
    <s v="No"/>
    <n v="0"/>
    <n v="0"/>
    <n v="1"/>
    <n v="0"/>
    <n v="1"/>
    <x v="1"/>
  </r>
  <r>
    <s v="CUST-0171"/>
    <x v="1"/>
    <x v="0"/>
    <s v="Finance"/>
    <x v="3"/>
    <n v="7"/>
    <n v="55"/>
    <x v="0"/>
    <s v="Europe"/>
    <d v="2022-09-18T00:00:00"/>
    <x v="0"/>
    <s v="2023-07-31"/>
    <x v="4"/>
    <n v="3"/>
    <n v="2"/>
    <n v="24"/>
    <s v="No"/>
    <n v="1"/>
    <n v="1"/>
    <n v="1"/>
    <n v="0"/>
    <n v="2"/>
    <x v="0"/>
  </r>
  <r>
    <s v="CUST-0172"/>
    <x v="2"/>
    <x v="0"/>
    <s v="Healthcare"/>
    <x v="3"/>
    <n v="5"/>
    <n v="318"/>
    <x v="3"/>
    <s v="North America"/>
    <d v="2022-07-10T00:00:00"/>
    <x v="0"/>
    <s v="2024-05-08"/>
    <x v="6"/>
    <n v="14"/>
    <n v="3"/>
    <n v="38"/>
    <s v="No"/>
    <n v="1"/>
    <n v="1"/>
    <n v="1"/>
    <n v="1"/>
    <n v="3"/>
    <x v="0"/>
  </r>
  <r>
    <s v="CUST-0173"/>
    <x v="0"/>
    <x v="1"/>
    <s v="Media"/>
    <x v="3"/>
    <n v="6"/>
    <n v="118"/>
    <x v="5"/>
    <s v="Asia Pacific"/>
    <d v="2024-09-14T00:00:00"/>
    <x v="1"/>
    <s v="NULL"/>
    <x v="1"/>
    <n v="12"/>
    <n v="9"/>
    <n v="38"/>
    <s v="No"/>
    <n v="0"/>
    <n v="1"/>
    <n v="0"/>
    <n v="1"/>
    <n v="2"/>
    <x v="0"/>
  </r>
  <r>
    <s v="CUST-0174"/>
    <x v="3"/>
    <x v="1"/>
    <s v="Education"/>
    <x v="4"/>
    <n v="65"/>
    <n v="4496"/>
    <x v="4"/>
    <s v="North America"/>
    <d v="2024-11-30T00:00:00"/>
    <x v="1"/>
    <s v="NULL"/>
    <x v="1"/>
    <n v="10"/>
    <n v="2"/>
    <n v="91"/>
    <s v="No"/>
    <n v="0"/>
    <n v="0"/>
    <n v="1"/>
    <n v="0"/>
    <n v="1"/>
    <x v="1"/>
  </r>
  <r>
    <s v="CUST-0175"/>
    <x v="2"/>
    <x v="1"/>
    <s v="Consulting"/>
    <x v="0"/>
    <n v="50"/>
    <n v="1412"/>
    <x v="1"/>
    <s v="North America"/>
    <d v="2022-10-11T00:00:00"/>
    <x v="1"/>
    <s v="NULL"/>
    <x v="1"/>
    <n v="12"/>
    <n v="8"/>
    <n v="26"/>
    <s v="No"/>
    <n v="0"/>
    <n v="1"/>
    <n v="0"/>
    <n v="1"/>
    <n v="2"/>
    <x v="0"/>
  </r>
  <r>
    <s v="CUST-0176"/>
    <x v="1"/>
    <x v="0"/>
    <s v="Media"/>
    <x v="1"/>
    <n v="205"/>
    <n v="916"/>
    <x v="5"/>
    <s v="North America"/>
    <d v="2023-08-06T00:00:00"/>
    <x v="0"/>
    <s v="2023-09-11"/>
    <x v="4"/>
    <n v="7"/>
    <n v="3"/>
    <n v="19"/>
    <s v="No"/>
    <n v="1"/>
    <n v="1"/>
    <n v="1"/>
    <n v="0"/>
    <n v="2"/>
    <x v="0"/>
  </r>
  <r>
    <s v="CUST-0177"/>
    <x v="0"/>
    <x v="0"/>
    <s v="Technology"/>
    <x v="1"/>
    <n v="239"/>
    <n v="2899"/>
    <x v="2"/>
    <s v="Asia Pacific"/>
    <d v="2024-12-06T00:00:00"/>
    <x v="0"/>
    <s v="2025-11-09"/>
    <x v="2"/>
    <n v="4"/>
    <n v="6"/>
    <n v="14"/>
    <s v="No"/>
    <n v="1"/>
    <n v="1"/>
    <n v="1"/>
    <n v="0"/>
    <n v="2"/>
    <x v="0"/>
  </r>
  <r>
    <s v="CUST-0178"/>
    <x v="0"/>
    <x v="1"/>
    <s v="Manufacturing"/>
    <x v="2"/>
    <n v="31"/>
    <n v="369"/>
    <x v="1"/>
    <s v="Asia Pacific"/>
    <d v="2024-09-11T00:00:00"/>
    <x v="1"/>
    <s v="NULL"/>
    <x v="1"/>
    <n v="4"/>
    <n v="6"/>
    <n v="81"/>
    <s v="No"/>
    <n v="0"/>
    <n v="0"/>
    <n v="1"/>
    <n v="0"/>
    <n v="1"/>
    <x v="1"/>
  </r>
  <r>
    <s v="CUST-0179"/>
    <x v="1"/>
    <x v="0"/>
    <s v="Consulting"/>
    <x v="0"/>
    <n v="67"/>
    <n v="316"/>
    <x v="3"/>
    <s v="Europe"/>
    <d v="2024-06-25T00:00:00"/>
    <x v="1"/>
    <s v="NULL"/>
    <x v="1"/>
    <n v="3"/>
    <n v="10"/>
    <n v="26"/>
    <s v="No"/>
    <n v="0"/>
    <n v="1"/>
    <n v="0"/>
    <n v="0"/>
    <n v="1"/>
    <x v="1"/>
  </r>
  <r>
    <s v="CUST-0180"/>
    <x v="0"/>
    <x v="1"/>
    <s v="Real Estate"/>
    <x v="0"/>
    <n v="29"/>
    <n v="349"/>
    <x v="3"/>
    <s v="North America"/>
    <d v="2022-10-12T00:00:00"/>
    <x v="0"/>
    <s v="2025-03-25"/>
    <x v="4"/>
    <n v="2"/>
    <n v="5"/>
    <n v="42"/>
    <s v="No"/>
    <n v="1"/>
    <n v="1"/>
    <n v="1"/>
    <n v="0"/>
    <n v="2"/>
    <x v="0"/>
  </r>
  <r>
    <s v="CUST-0181"/>
    <x v="0"/>
    <x v="0"/>
    <s v="Education"/>
    <x v="3"/>
    <n v="4"/>
    <n v="115"/>
    <x v="4"/>
    <s v="North America"/>
    <d v="2024-02-08T00:00:00"/>
    <x v="0"/>
    <s v="2024-04-23"/>
    <x v="0"/>
    <n v="9"/>
    <n v="4"/>
    <n v="44"/>
    <s v="No"/>
    <n v="1"/>
    <n v="1"/>
    <n v="1"/>
    <n v="0"/>
    <n v="2"/>
    <x v="0"/>
  </r>
  <r>
    <s v="CUST-0182"/>
    <x v="0"/>
    <x v="1"/>
    <s v="Real Estate"/>
    <x v="0"/>
    <n v="76"/>
    <n v="823"/>
    <x v="2"/>
    <s v="Europe"/>
    <d v="2024-05-02T00:00:00"/>
    <x v="1"/>
    <s v="NULL"/>
    <x v="1"/>
    <n v="9"/>
    <n v="6"/>
    <n v="37"/>
    <s v="No"/>
    <n v="0"/>
    <n v="1"/>
    <n v="1"/>
    <n v="0"/>
    <n v="2"/>
    <x v="0"/>
  </r>
  <r>
    <s v="CUST-0183"/>
    <x v="1"/>
    <x v="1"/>
    <s v="Education"/>
    <x v="4"/>
    <n v="83"/>
    <n v="328"/>
    <x v="2"/>
    <s v="North America"/>
    <d v="2023-10-01T00:00:00"/>
    <x v="0"/>
    <s v="2025-01-06"/>
    <x v="4"/>
    <n v="8"/>
    <n v="4"/>
    <n v="26"/>
    <s v="No"/>
    <n v="1"/>
    <n v="1"/>
    <n v="1"/>
    <n v="0"/>
    <n v="2"/>
    <x v="0"/>
  </r>
  <r>
    <s v="CUST-0184"/>
    <x v="1"/>
    <x v="0"/>
    <s v="Manufacturing"/>
    <x v="3"/>
    <n v="7"/>
    <n v="55"/>
    <x v="2"/>
    <s v="Europe"/>
    <d v="2024-11-20T00:00:00"/>
    <x v="1"/>
    <s v="NULL"/>
    <x v="1"/>
    <n v="8"/>
    <n v="2"/>
    <n v="63"/>
    <s v="No"/>
    <n v="0"/>
    <n v="0"/>
    <n v="1"/>
    <n v="0"/>
    <n v="1"/>
    <x v="1"/>
  </r>
  <r>
    <s v="CUST-0185"/>
    <x v="0"/>
    <x v="1"/>
    <s v="Media"/>
    <x v="4"/>
    <n v="96"/>
    <n v="1024"/>
    <x v="3"/>
    <s v="North America"/>
    <d v="2025-11-17T00:00:00"/>
    <x v="1"/>
    <s v="NULL"/>
    <x v="1"/>
    <n v="3"/>
    <n v="8"/>
    <n v="48"/>
    <s v="No"/>
    <n v="0"/>
    <n v="1"/>
    <n v="0"/>
    <n v="0"/>
    <n v="1"/>
    <x v="1"/>
  </r>
  <r>
    <s v="CUST-0186"/>
    <x v="2"/>
    <x v="0"/>
    <s v="Finance"/>
    <x v="3"/>
    <n v="6"/>
    <n v="348"/>
    <x v="2"/>
    <s v="Asia Pacific"/>
    <d v="2025-06-25T00:00:00"/>
    <x v="0"/>
    <s v="2025-11-28"/>
    <x v="4"/>
    <n v="3"/>
    <n v="2"/>
    <n v="17"/>
    <s v="No"/>
    <n v="1"/>
    <n v="1"/>
    <n v="1"/>
    <n v="0"/>
    <n v="2"/>
    <x v="0"/>
  </r>
  <r>
    <s v="CUST-0187"/>
    <x v="0"/>
    <x v="0"/>
    <s v="Education"/>
    <x v="3"/>
    <n v="4"/>
    <n v="115"/>
    <x v="4"/>
    <s v="Asia Pacific"/>
    <d v="2024-09-10T00:00:00"/>
    <x v="0"/>
    <s v="2024-11-30"/>
    <x v="0"/>
    <n v="9"/>
    <n v="3"/>
    <n v="24"/>
    <s v="No"/>
    <n v="1"/>
    <n v="1"/>
    <n v="1"/>
    <n v="0"/>
    <n v="2"/>
    <x v="0"/>
  </r>
  <r>
    <s v="CUST-0188"/>
    <x v="2"/>
    <x v="0"/>
    <s v="Healthcare"/>
    <x v="2"/>
    <n v="28"/>
    <n v="1005"/>
    <x v="3"/>
    <s v="Asia Pacific"/>
    <d v="2022-08-11T00:00:00"/>
    <x v="0"/>
    <s v="2024-12-24"/>
    <x v="3"/>
    <n v="13"/>
    <n v="4"/>
    <n v="15"/>
    <s v="No"/>
    <n v="1"/>
    <n v="1"/>
    <n v="1"/>
    <n v="1"/>
    <n v="3"/>
    <x v="0"/>
  </r>
  <r>
    <s v="CUST-0189"/>
    <x v="1"/>
    <x v="0"/>
    <s v="Consulting"/>
    <x v="4"/>
    <n v="141"/>
    <n v="638"/>
    <x v="1"/>
    <s v="North America"/>
    <d v="2025-09-11T00:00:00"/>
    <x v="1"/>
    <s v="NULL"/>
    <x v="1"/>
    <n v="11"/>
    <n v="4"/>
    <n v="88"/>
    <s v="No"/>
    <n v="0"/>
    <n v="0"/>
    <n v="1"/>
    <n v="1"/>
    <n v="2"/>
    <x v="0"/>
  </r>
  <r>
    <s v="CUST-0190"/>
    <x v="0"/>
    <x v="0"/>
    <s v="Consulting"/>
    <x v="0"/>
    <n v="70"/>
    <n v="897"/>
    <x v="5"/>
    <s v="North America"/>
    <d v="2023-07-10T00:00:00"/>
    <x v="1"/>
    <s v="NULL"/>
    <x v="1"/>
    <n v="7"/>
    <n v="10"/>
    <n v="63"/>
    <s v="No"/>
    <n v="0"/>
    <n v="0"/>
    <n v="0"/>
    <n v="0"/>
    <n v="0"/>
    <x v="2"/>
  </r>
  <r>
    <s v="CUST-0191"/>
    <x v="1"/>
    <x v="0"/>
    <s v="Media"/>
    <x v="2"/>
    <n v="30"/>
    <n v="155"/>
    <x v="2"/>
    <s v="North America"/>
    <d v="2022-12-21T00:00:00"/>
    <x v="0"/>
    <s v="2023-01-25"/>
    <x v="6"/>
    <n v="15"/>
    <n v="2"/>
    <n v="23"/>
    <s v="No"/>
    <n v="1"/>
    <n v="1"/>
    <n v="1"/>
    <n v="1"/>
    <n v="3"/>
    <x v="0"/>
  </r>
  <r>
    <s v="CUST-0192"/>
    <x v="2"/>
    <x v="0"/>
    <s v="Real Estate"/>
    <x v="0"/>
    <n v="74"/>
    <n v="2378"/>
    <x v="5"/>
    <s v="North America"/>
    <d v="2022-03-16T00:00:00"/>
    <x v="1"/>
    <s v="NULL"/>
    <x v="1"/>
    <n v="8"/>
    <n v="10"/>
    <n v="46"/>
    <s v="Yes"/>
    <n v="0"/>
    <n v="1"/>
    <n v="0"/>
    <n v="0"/>
    <n v="1"/>
    <x v="1"/>
  </r>
  <r>
    <s v="CUST-0193"/>
    <x v="3"/>
    <x v="0"/>
    <s v="Retail"/>
    <x v="2"/>
    <n v="33"/>
    <n v="2894"/>
    <x v="5"/>
    <s v="North America"/>
    <d v="2024-09-18T00:00:00"/>
    <x v="1"/>
    <s v="NULL"/>
    <x v="1"/>
    <n v="0"/>
    <n v="1"/>
    <n v="43"/>
    <s v="Yes"/>
    <n v="0"/>
    <n v="1"/>
    <n v="1"/>
    <n v="0"/>
    <n v="2"/>
    <x v="0"/>
  </r>
  <r>
    <s v="CUST-0194"/>
    <x v="1"/>
    <x v="1"/>
    <s v="Finance"/>
    <x v="1"/>
    <n v="225"/>
    <n v="853"/>
    <x v="3"/>
    <s v="Europe"/>
    <d v="2023-02-27T00:00:00"/>
    <x v="1"/>
    <s v="NULL"/>
    <x v="1"/>
    <n v="6"/>
    <n v="9"/>
    <n v="50"/>
    <s v="Yes"/>
    <n v="0"/>
    <n v="0"/>
    <n v="0"/>
    <n v="0"/>
    <n v="0"/>
    <x v="2"/>
  </r>
  <r>
    <s v="CUST-0195"/>
    <x v="1"/>
    <x v="1"/>
    <s v="Education"/>
    <x v="3"/>
    <n v="3"/>
    <n v="32"/>
    <x v="4"/>
    <s v="North America"/>
    <d v="2023-10-21T00:00:00"/>
    <x v="0"/>
    <s v="2024-07-19"/>
    <x v="4"/>
    <n v="4"/>
    <n v="5"/>
    <n v="33"/>
    <s v="No"/>
    <n v="1"/>
    <n v="1"/>
    <n v="1"/>
    <n v="0"/>
    <n v="2"/>
    <x v="0"/>
  </r>
  <r>
    <s v="CUST-0196"/>
    <x v="0"/>
    <x v="1"/>
    <s v="Media"/>
    <x v="2"/>
    <n v="20"/>
    <n v="259"/>
    <x v="4"/>
    <s v="Europe"/>
    <d v="2025-03-06T00:00:00"/>
    <x v="1"/>
    <s v="NULL"/>
    <x v="1"/>
    <n v="6"/>
    <n v="7"/>
    <n v="95"/>
    <s v="No"/>
    <n v="0"/>
    <n v="0"/>
    <n v="0"/>
    <n v="0"/>
    <n v="0"/>
    <x v="2"/>
  </r>
  <r>
    <s v="CUST-0197"/>
    <x v="3"/>
    <x v="0"/>
    <s v="Consulting"/>
    <x v="3"/>
    <n v="1"/>
    <n v="499"/>
    <x v="0"/>
    <s v="Asia Pacific"/>
    <d v="2022-03-25T00:00:00"/>
    <x v="1"/>
    <s v="NULL"/>
    <x v="1"/>
    <n v="8"/>
    <n v="7"/>
    <n v="32"/>
    <s v="No"/>
    <n v="0"/>
    <n v="1"/>
    <n v="0"/>
    <n v="0"/>
    <n v="1"/>
    <x v="1"/>
  </r>
  <r>
    <s v="CUST-0198"/>
    <x v="1"/>
    <x v="0"/>
    <s v="Healthcare"/>
    <x v="0"/>
    <n v="21"/>
    <n v="116"/>
    <x v="3"/>
    <s v="Europe"/>
    <d v="2023-04-19T00:00:00"/>
    <x v="0"/>
    <s v="2025-01-15"/>
    <x v="7"/>
    <n v="0"/>
    <n v="1"/>
    <n v="15"/>
    <s v="No"/>
    <n v="1"/>
    <n v="1"/>
    <n v="1"/>
    <n v="0"/>
    <n v="2"/>
    <x v="0"/>
  </r>
  <r>
    <s v="CUST-0199"/>
    <x v="0"/>
    <x v="1"/>
    <s v="Legal"/>
    <x v="3"/>
    <n v="4"/>
    <n v="97"/>
    <x v="4"/>
    <s v="North America"/>
    <d v="2025-03-03T00:00:00"/>
    <x v="1"/>
    <s v="NULL"/>
    <x v="1"/>
    <n v="2"/>
    <n v="4"/>
    <n v="36"/>
    <s v="No"/>
    <n v="0"/>
    <n v="1"/>
    <n v="1"/>
    <n v="0"/>
    <n v="2"/>
    <x v="0"/>
  </r>
  <r>
    <s v="CUST-0200"/>
    <x v="0"/>
    <x v="1"/>
    <s v="Education"/>
    <x v="4"/>
    <n v="35"/>
    <n v="410"/>
    <x v="0"/>
    <s v="North America"/>
    <d v="2022-10-24T00:00:00"/>
    <x v="0"/>
    <s v="2024-11-02"/>
    <x v="7"/>
    <n v="15"/>
    <n v="1"/>
    <n v="21"/>
    <s v="No"/>
    <n v="1"/>
    <n v="1"/>
    <n v="1"/>
    <n v="1"/>
    <n v="3"/>
    <x v="0"/>
  </r>
  <r>
    <s v="CUST-0201"/>
    <x v="1"/>
    <x v="0"/>
    <s v="Media"/>
    <x v="2"/>
    <n v="13"/>
    <n v="81"/>
    <x v="2"/>
    <s v="Europe"/>
    <d v="2023-06-28T00:00:00"/>
    <x v="0"/>
    <s v="2024-10-13"/>
    <x v="4"/>
    <n v="15"/>
    <n v="1"/>
    <n v="44"/>
    <s v="No"/>
    <n v="1"/>
    <n v="1"/>
    <n v="1"/>
    <n v="1"/>
    <n v="3"/>
    <x v="0"/>
  </r>
  <r>
    <s v="CUST-0202"/>
    <x v="1"/>
    <x v="0"/>
    <s v="Legal"/>
    <x v="2"/>
    <n v="30"/>
    <n v="155"/>
    <x v="2"/>
    <s v="Latin America"/>
    <d v="2023-10-06T00:00:00"/>
    <x v="0"/>
    <s v="2023-11-04"/>
    <x v="0"/>
    <n v="3"/>
    <n v="1"/>
    <n v="25"/>
    <s v="No"/>
    <n v="1"/>
    <n v="1"/>
    <n v="1"/>
    <n v="0"/>
    <n v="2"/>
    <x v="0"/>
  </r>
  <r>
    <s v="CUST-0203"/>
    <x v="2"/>
    <x v="0"/>
    <s v="Consulting"/>
    <x v="3"/>
    <n v="8"/>
    <n v="408"/>
    <x v="1"/>
    <s v="Latin America"/>
    <d v="2023-07-30T00:00:00"/>
    <x v="0"/>
    <s v="2025-04-06"/>
    <x v="4"/>
    <n v="1"/>
    <n v="5"/>
    <n v="12"/>
    <s v="No"/>
    <n v="1"/>
    <n v="1"/>
    <n v="1"/>
    <n v="0"/>
    <n v="2"/>
    <x v="0"/>
  </r>
  <r>
    <s v="CUST-0204"/>
    <x v="1"/>
    <x v="0"/>
    <s v="Education"/>
    <x v="0"/>
    <n v="64"/>
    <n v="303"/>
    <x v="2"/>
    <s v="North America"/>
    <d v="2024-05-19T00:00:00"/>
    <x v="0"/>
    <s v="2024-07-20"/>
    <x v="2"/>
    <n v="11"/>
    <n v="1"/>
    <n v="49"/>
    <s v="No"/>
    <n v="1"/>
    <n v="1"/>
    <n v="1"/>
    <n v="1"/>
    <n v="3"/>
    <x v="0"/>
  </r>
  <r>
    <s v="CUST-0205"/>
    <x v="2"/>
    <x v="1"/>
    <s v="Healthcare"/>
    <x v="0"/>
    <n v="67"/>
    <n v="1844"/>
    <x v="0"/>
    <s v="Europe"/>
    <d v="2023-12-17T00:00:00"/>
    <x v="1"/>
    <s v="NULL"/>
    <x v="1"/>
    <n v="12"/>
    <n v="1"/>
    <n v="85"/>
    <s v="Yes"/>
    <n v="0"/>
    <n v="0"/>
    <n v="1"/>
    <n v="1"/>
    <n v="2"/>
    <x v="0"/>
  </r>
  <r>
    <s v="CUST-0206"/>
    <x v="1"/>
    <x v="0"/>
    <s v="Healthcare"/>
    <x v="4"/>
    <n v="72"/>
    <n v="338"/>
    <x v="0"/>
    <s v="Europe"/>
    <d v="2024-03-23T00:00:00"/>
    <x v="0"/>
    <s v="2024-07-02"/>
    <x v="3"/>
    <n v="5"/>
    <n v="6"/>
    <n v="33"/>
    <s v="No"/>
    <n v="1"/>
    <n v="1"/>
    <n v="1"/>
    <n v="0"/>
    <n v="2"/>
    <x v="0"/>
  </r>
  <r>
    <s v="CUST-0207"/>
    <x v="2"/>
    <x v="0"/>
    <s v="Real Estate"/>
    <x v="3"/>
    <n v="1"/>
    <n v="199"/>
    <x v="2"/>
    <s v="North America"/>
    <d v="2023-04-02T00:00:00"/>
    <x v="0"/>
    <s v="2023-12-15"/>
    <x v="6"/>
    <n v="12"/>
    <n v="2"/>
    <n v="16"/>
    <s v="No"/>
    <n v="1"/>
    <n v="1"/>
    <n v="1"/>
    <n v="1"/>
    <n v="3"/>
    <x v="0"/>
  </r>
  <r>
    <s v="CUST-0208"/>
    <x v="1"/>
    <x v="0"/>
    <s v="Consulting"/>
    <x v="2"/>
    <n v="5"/>
    <n v="46"/>
    <x v="3"/>
    <s v="North America"/>
    <d v="2025-01-19T00:00:00"/>
    <x v="0"/>
    <s v="2025-07-03"/>
    <x v="7"/>
    <n v="8"/>
    <n v="4"/>
    <n v="21"/>
    <s v="No"/>
    <n v="1"/>
    <n v="1"/>
    <n v="1"/>
    <n v="0"/>
    <n v="2"/>
    <x v="0"/>
  </r>
  <r>
    <s v="CUST-0209"/>
    <x v="1"/>
    <x v="1"/>
    <s v="Healthcare"/>
    <x v="0"/>
    <n v="46"/>
    <n v="191"/>
    <x v="5"/>
    <s v="Europe"/>
    <d v="2022-05-05T00:00:00"/>
    <x v="0"/>
    <s v="2022-07-30"/>
    <x v="5"/>
    <n v="2"/>
    <n v="1"/>
    <n v="13"/>
    <s v="No"/>
    <n v="1"/>
    <n v="1"/>
    <n v="1"/>
    <n v="0"/>
    <n v="2"/>
    <x v="0"/>
  </r>
  <r>
    <s v="CUST-0210"/>
    <x v="3"/>
    <x v="0"/>
    <s v="Healthcare"/>
    <x v="0"/>
    <n v="72"/>
    <n v="5813"/>
    <x v="5"/>
    <s v="North America"/>
    <d v="2022-09-22T00:00:00"/>
    <x v="0"/>
    <s v="2025-05-26"/>
    <x v="0"/>
    <n v="13"/>
    <n v="1"/>
    <n v="17"/>
    <s v="No"/>
    <n v="1"/>
    <n v="1"/>
    <n v="1"/>
    <n v="1"/>
    <n v="3"/>
    <x v="0"/>
  </r>
  <r>
    <s v="CUST-0211"/>
    <x v="3"/>
    <x v="1"/>
    <s v="Education"/>
    <x v="4"/>
    <n v="48"/>
    <n v="3414"/>
    <x v="4"/>
    <s v="North America"/>
    <d v="2025-06-30T00:00:00"/>
    <x v="1"/>
    <s v="NULL"/>
    <x v="1"/>
    <n v="12"/>
    <n v="2"/>
    <n v="23"/>
    <s v="No"/>
    <n v="0"/>
    <n v="1"/>
    <n v="1"/>
    <n v="1"/>
    <n v="3"/>
    <x v="0"/>
  </r>
  <r>
    <s v="CUST-0212"/>
    <x v="2"/>
    <x v="1"/>
    <s v="Retail"/>
    <x v="3"/>
    <n v="1"/>
    <n v="169"/>
    <x v="2"/>
    <s v="North America"/>
    <d v="2024-01-08T00:00:00"/>
    <x v="1"/>
    <s v="NULL"/>
    <x v="1"/>
    <n v="1"/>
    <n v="6"/>
    <n v="60"/>
    <s v="No"/>
    <n v="0"/>
    <n v="0"/>
    <n v="1"/>
    <n v="0"/>
    <n v="1"/>
    <x v="1"/>
  </r>
  <r>
    <s v="CUST-0213"/>
    <x v="2"/>
    <x v="1"/>
    <s v="Manufacturing"/>
    <x v="1"/>
    <n v="209"/>
    <n v="5447"/>
    <x v="2"/>
    <s v="North America"/>
    <d v="2023-05-20T00:00:00"/>
    <x v="1"/>
    <s v="NULL"/>
    <x v="1"/>
    <n v="4"/>
    <n v="2"/>
    <n v="31"/>
    <s v="No"/>
    <n v="0"/>
    <n v="1"/>
    <n v="1"/>
    <n v="0"/>
    <n v="2"/>
    <x v="0"/>
  </r>
  <r>
    <s v="CUST-0214"/>
    <x v="1"/>
    <x v="0"/>
    <s v="Legal"/>
    <x v="2"/>
    <n v="17"/>
    <n v="99"/>
    <x v="3"/>
    <s v="North America"/>
    <d v="2024-09-23T00:00:00"/>
    <x v="0"/>
    <s v="2025-08-11"/>
    <x v="6"/>
    <n v="4"/>
    <n v="4"/>
    <n v="10"/>
    <s v="No"/>
    <n v="1"/>
    <n v="1"/>
    <n v="1"/>
    <n v="0"/>
    <n v="2"/>
    <x v="0"/>
  </r>
  <r>
    <s v="CUST-0215"/>
    <x v="1"/>
    <x v="0"/>
    <s v="Consulting"/>
    <x v="2"/>
    <n v="21"/>
    <n v="116"/>
    <x v="1"/>
    <s v="Asia Pacific"/>
    <d v="2025-01-09T00:00:00"/>
    <x v="0"/>
    <s v="2025-06-29"/>
    <x v="3"/>
    <n v="15"/>
    <n v="5"/>
    <n v="27"/>
    <s v="No"/>
    <n v="1"/>
    <n v="1"/>
    <n v="1"/>
    <n v="1"/>
    <n v="3"/>
    <x v="0"/>
  </r>
  <r>
    <s v="CUST-0216"/>
    <x v="1"/>
    <x v="0"/>
    <s v="Finance"/>
    <x v="2"/>
    <n v="15"/>
    <n v="90"/>
    <x v="0"/>
    <s v="North America"/>
    <d v="2024-07-20T00:00:00"/>
    <x v="0"/>
    <s v="2024-09-16"/>
    <x v="2"/>
    <n v="11"/>
    <n v="4"/>
    <n v="20"/>
    <s v="No"/>
    <n v="1"/>
    <n v="1"/>
    <n v="1"/>
    <n v="1"/>
    <n v="3"/>
    <x v="0"/>
  </r>
  <r>
    <s v="CUST-0217"/>
    <x v="0"/>
    <x v="0"/>
    <s v="Healthcare"/>
    <x v="0"/>
    <n v="46"/>
    <n v="612"/>
    <x v="2"/>
    <s v="North America"/>
    <d v="2024-04-05T00:00:00"/>
    <x v="1"/>
    <s v="NULL"/>
    <x v="1"/>
    <n v="3"/>
    <n v="7"/>
    <n v="39"/>
    <s v="No"/>
    <n v="0"/>
    <n v="1"/>
    <n v="0"/>
    <n v="0"/>
    <n v="1"/>
    <x v="1"/>
  </r>
  <r>
    <s v="CUST-0218"/>
    <x v="1"/>
    <x v="0"/>
    <s v="Finance"/>
    <x v="0"/>
    <n v="22"/>
    <n v="120"/>
    <x v="1"/>
    <s v="North America"/>
    <d v="2022-10-15T00:00:00"/>
    <x v="0"/>
    <s v="2024-01-25"/>
    <x v="5"/>
    <n v="3"/>
    <n v="3"/>
    <n v="27"/>
    <s v="No"/>
    <n v="1"/>
    <n v="1"/>
    <n v="1"/>
    <n v="0"/>
    <n v="2"/>
    <x v="0"/>
  </r>
  <r>
    <s v="CUST-0219"/>
    <x v="1"/>
    <x v="1"/>
    <s v="Manufacturing"/>
    <x v="3"/>
    <n v="8"/>
    <n v="51"/>
    <x v="0"/>
    <s v="North America"/>
    <d v="2023-08-22T00:00:00"/>
    <x v="1"/>
    <s v="NULL"/>
    <x v="1"/>
    <n v="6"/>
    <n v="8"/>
    <n v="32"/>
    <s v="No"/>
    <n v="0"/>
    <n v="1"/>
    <n v="0"/>
    <n v="0"/>
    <n v="1"/>
    <x v="1"/>
  </r>
  <r>
    <s v="CUST-0220"/>
    <x v="0"/>
    <x v="0"/>
    <s v="Education"/>
    <x v="3"/>
    <n v="1"/>
    <n v="79"/>
    <x v="5"/>
    <s v="North America"/>
    <d v="2023-09-26T00:00:00"/>
    <x v="0"/>
    <s v="2025-05-11"/>
    <x v="0"/>
    <n v="9"/>
    <n v="5"/>
    <n v="44"/>
    <s v="No"/>
    <n v="1"/>
    <n v="1"/>
    <n v="1"/>
    <n v="0"/>
    <n v="2"/>
    <x v="0"/>
  </r>
  <r>
    <s v="CUST-0221"/>
    <x v="2"/>
    <x v="1"/>
    <s v="Real Estate"/>
    <x v="3"/>
    <n v="3"/>
    <n v="220"/>
    <x v="0"/>
    <s v="North America"/>
    <d v="2025-06-28T00:00:00"/>
    <x v="1"/>
    <s v="NULL"/>
    <x v="1"/>
    <n v="7"/>
    <n v="8"/>
    <n v="43"/>
    <s v="No"/>
    <n v="0"/>
    <n v="1"/>
    <n v="0"/>
    <n v="0"/>
    <n v="1"/>
    <x v="1"/>
  </r>
  <r>
    <s v="CUST-0222"/>
    <x v="0"/>
    <x v="0"/>
    <s v="Media"/>
    <x v="0"/>
    <n v="47"/>
    <n v="624"/>
    <x v="3"/>
    <s v="Europe"/>
    <d v="2024-10-03T00:00:00"/>
    <x v="1"/>
    <s v="NULL"/>
    <x v="1"/>
    <n v="6"/>
    <n v="8"/>
    <n v="63"/>
    <s v="Yes"/>
    <n v="0"/>
    <n v="0"/>
    <n v="0"/>
    <n v="0"/>
    <n v="0"/>
    <x v="2"/>
  </r>
  <r>
    <s v="CUST-0223"/>
    <x v="1"/>
    <x v="0"/>
    <s v="Manufacturing"/>
    <x v="4"/>
    <n v="68"/>
    <n v="320"/>
    <x v="4"/>
    <s v="North America"/>
    <d v="2025-04-01T00:00:00"/>
    <x v="0"/>
    <s v="2025-10-19"/>
    <x v="3"/>
    <n v="9"/>
    <n v="4"/>
    <n v="42"/>
    <s v="No"/>
    <n v="1"/>
    <n v="1"/>
    <n v="1"/>
    <n v="0"/>
    <n v="2"/>
    <x v="0"/>
  </r>
  <r>
    <s v="CUST-0224"/>
    <x v="3"/>
    <x v="1"/>
    <s v="Healthcare"/>
    <x v="0"/>
    <n v="72"/>
    <n v="4941"/>
    <x v="5"/>
    <s v="Latin America"/>
    <d v="2025-02-01T00:00:00"/>
    <x v="0"/>
    <s v="2025-02-13"/>
    <x v="7"/>
    <n v="0"/>
    <n v="1"/>
    <n v="11"/>
    <s v="No"/>
    <n v="1"/>
    <n v="1"/>
    <n v="1"/>
    <n v="0"/>
    <n v="2"/>
    <x v="0"/>
  </r>
  <r>
    <s v="CUST-0225"/>
    <x v="0"/>
    <x v="1"/>
    <s v="Consulting"/>
    <x v="2"/>
    <n v="27"/>
    <n v="329"/>
    <x v="0"/>
    <s v="North America"/>
    <d v="2025-11-17T00:00:00"/>
    <x v="1"/>
    <s v="NULL"/>
    <x v="1"/>
    <n v="7"/>
    <n v="4"/>
    <n v="39"/>
    <s v="No"/>
    <n v="0"/>
    <n v="1"/>
    <n v="1"/>
    <n v="0"/>
    <n v="2"/>
    <x v="0"/>
  </r>
  <r>
    <s v="CUST-0226"/>
    <x v="0"/>
    <x v="0"/>
    <s v="Retail"/>
    <x v="0"/>
    <n v="64"/>
    <n v="826"/>
    <x v="0"/>
    <s v="Europe"/>
    <d v="2025-04-18T00:00:00"/>
    <x v="1"/>
    <s v="NULL"/>
    <x v="1"/>
    <n v="10"/>
    <n v="4"/>
    <n v="87"/>
    <s v="No"/>
    <n v="0"/>
    <n v="0"/>
    <n v="1"/>
    <n v="0"/>
    <n v="1"/>
    <x v="1"/>
  </r>
  <r>
    <s v="CUST-0227"/>
    <x v="1"/>
    <x v="0"/>
    <s v="Retail"/>
    <x v="3"/>
    <n v="6"/>
    <n v="51"/>
    <x v="3"/>
    <s v="Europe"/>
    <d v="2024-09-10T00:00:00"/>
    <x v="0"/>
    <s v="2024-10-27"/>
    <x v="7"/>
    <n v="5"/>
    <n v="3"/>
    <n v="39"/>
    <s v="No"/>
    <n v="1"/>
    <n v="1"/>
    <n v="1"/>
    <n v="0"/>
    <n v="2"/>
    <x v="0"/>
  </r>
  <r>
    <s v="CUST-0228"/>
    <x v="1"/>
    <x v="1"/>
    <s v="Consulting"/>
    <x v="2"/>
    <n v="10"/>
    <n v="58"/>
    <x v="0"/>
    <s v="Europe"/>
    <d v="2024-01-12T00:00:00"/>
    <x v="1"/>
    <s v="NULL"/>
    <x v="1"/>
    <n v="8"/>
    <n v="6"/>
    <n v="46"/>
    <s v="Yes"/>
    <n v="0"/>
    <n v="1"/>
    <n v="1"/>
    <n v="0"/>
    <n v="2"/>
    <x v="0"/>
  </r>
  <r>
    <s v="CUST-0229"/>
    <x v="3"/>
    <x v="0"/>
    <s v="Manufacturing"/>
    <x v="4"/>
    <n v="118"/>
    <n v="9256"/>
    <x v="0"/>
    <s v="Europe"/>
    <d v="2024-04-06T00:00:00"/>
    <x v="1"/>
    <s v="NULL"/>
    <x v="1"/>
    <n v="0"/>
    <n v="10"/>
    <n v="85"/>
    <s v="No"/>
    <n v="0"/>
    <n v="0"/>
    <n v="0"/>
    <n v="0"/>
    <n v="0"/>
    <x v="2"/>
  </r>
  <r>
    <s v="CUST-0230"/>
    <x v="1"/>
    <x v="0"/>
    <s v="Finance"/>
    <x v="2"/>
    <n v="24"/>
    <n v="129"/>
    <x v="3"/>
    <s v="North America"/>
    <d v="2023-06-10T00:00:00"/>
    <x v="0"/>
    <s v="2023-10-22"/>
    <x v="3"/>
    <n v="13"/>
    <n v="1"/>
    <n v="31"/>
    <s v="No"/>
    <n v="1"/>
    <n v="1"/>
    <n v="1"/>
    <n v="1"/>
    <n v="3"/>
    <x v="0"/>
  </r>
  <r>
    <s v="CUST-0231"/>
    <x v="1"/>
    <x v="0"/>
    <s v="Education"/>
    <x v="0"/>
    <n v="33"/>
    <n v="168"/>
    <x v="1"/>
    <s v="North America"/>
    <d v="2023-11-16T00:00:00"/>
    <x v="1"/>
    <s v="NULL"/>
    <x v="1"/>
    <n v="4"/>
    <n v="9"/>
    <n v="52"/>
    <s v="No"/>
    <n v="0"/>
    <n v="0"/>
    <n v="0"/>
    <n v="0"/>
    <n v="0"/>
    <x v="2"/>
  </r>
  <r>
    <s v="CUST-0232"/>
    <x v="0"/>
    <x v="0"/>
    <s v="Retail"/>
    <x v="0"/>
    <n v="44"/>
    <n v="589"/>
    <x v="0"/>
    <s v="Europe"/>
    <d v="2025-06-09T00:00:00"/>
    <x v="1"/>
    <s v="NULL"/>
    <x v="1"/>
    <n v="9"/>
    <n v="5"/>
    <n v="71"/>
    <s v="No"/>
    <n v="0"/>
    <n v="0"/>
    <n v="1"/>
    <n v="0"/>
    <n v="1"/>
    <x v="1"/>
  </r>
  <r>
    <s v="CUST-0233"/>
    <x v="0"/>
    <x v="0"/>
    <s v="Real Estate"/>
    <x v="4"/>
    <n v="112"/>
    <n v="1394"/>
    <x v="2"/>
    <s v="North America"/>
    <d v="2025-02-07T00:00:00"/>
    <x v="1"/>
    <s v="NULL"/>
    <x v="1"/>
    <n v="0"/>
    <n v="8"/>
    <n v="17"/>
    <s v="No"/>
    <n v="0"/>
    <n v="1"/>
    <n v="0"/>
    <n v="0"/>
    <n v="1"/>
    <x v="1"/>
  </r>
  <r>
    <s v="CUST-0234"/>
    <x v="2"/>
    <x v="0"/>
    <s v="Consulting"/>
    <x v="0"/>
    <n v="55"/>
    <n v="1811"/>
    <x v="4"/>
    <s v="North America"/>
    <d v="2024-04-03T00:00:00"/>
    <x v="0"/>
    <s v="2024-12-04"/>
    <x v="2"/>
    <n v="2"/>
    <n v="2"/>
    <n v="15"/>
    <s v="No"/>
    <n v="1"/>
    <n v="1"/>
    <n v="1"/>
    <n v="0"/>
    <n v="2"/>
    <x v="0"/>
  </r>
  <r>
    <s v="CUST-0235"/>
    <x v="2"/>
    <x v="1"/>
    <s v="Consulting"/>
    <x v="2"/>
    <n v="15"/>
    <n v="524"/>
    <x v="4"/>
    <s v="North America"/>
    <d v="2024-05-09T00:00:00"/>
    <x v="1"/>
    <s v="NULL"/>
    <x v="1"/>
    <n v="6"/>
    <n v="9"/>
    <n v="23"/>
    <s v="Yes"/>
    <n v="0"/>
    <n v="1"/>
    <n v="0"/>
    <n v="0"/>
    <n v="1"/>
    <x v="1"/>
  </r>
  <r>
    <s v="CUST-0236"/>
    <x v="1"/>
    <x v="0"/>
    <s v="Media"/>
    <x v="4"/>
    <n v="45"/>
    <n v="220"/>
    <x v="4"/>
    <s v="Europe"/>
    <d v="2023-07-10T00:00:00"/>
    <x v="0"/>
    <s v="2023-07-12"/>
    <x v="5"/>
    <n v="7"/>
    <n v="3"/>
    <n v="49"/>
    <s v="No"/>
    <n v="1"/>
    <n v="1"/>
    <n v="1"/>
    <n v="0"/>
    <n v="2"/>
    <x v="0"/>
  </r>
  <r>
    <s v="CUST-0237"/>
    <x v="0"/>
    <x v="0"/>
    <s v="Consulting"/>
    <x v="1"/>
    <n v="109"/>
    <n v="1359"/>
    <x v="1"/>
    <s v="Europe"/>
    <d v="2022-08-15T00:00:00"/>
    <x v="1"/>
    <s v="NULL"/>
    <x v="1"/>
    <n v="0"/>
    <n v="3"/>
    <n v="30"/>
    <s v="No"/>
    <n v="0"/>
    <n v="1"/>
    <n v="1"/>
    <n v="0"/>
    <n v="2"/>
    <x v="0"/>
  </r>
  <r>
    <s v="CUST-0238"/>
    <x v="2"/>
    <x v="0"/>
    <s v="Real Estate"/>
    <x v="0"/>
    <n v="29"/>
    <n v="1035"/>
    <x v="3"/>
    <s v="North America"/>
    <d v="2023-04-29T00:00:00"/>
    <x v="1"/>
    <s v="NULL"/>
    <x v="1"/>
    <n v="12"/>
    <n v="1"/>
    <n v="86"/>
    <s v="No"/>
    <n v="0"/>
    <n v="0"/>
    <n v="1"/>
    <n v="1"/>
    <n v="2"/>
    <x v="0"/>
  </r>
  <r>
    <s v="CUST-0239"/>
    <x v="2"/>
    <x v="0"/>
    <s v="Media"/>
    <x v="2"/>
    <n v="34"/>
    <n v="1184"/>
    <x v="2"/>
    <s v="Latin America"/>
    <d v="2022-04-16T00:00:00"/>
    <x v="0"/>
    <s v="2023-07-02"/>
    <x v="7"/>
    <n v="8"/>
    <n v="3"/>
    <n v="24"/>
    <s v="No"/>
    <n v="1"/>
    <n v="1"/>
    <n v="1"/>
    <n v="0"/>
    <n v="2"/>
    <x v="0"/>
  </r>
  <r>
    <s v="CUST-0240"/>
    <x v="1"/>
    <x v="1"/>
    <s v="Legal"/>
    <x v="3"/>
    <n v="4"/>
    <n v="36"/>
    <x v="5"/>
    <s v="Asia Pacific"/>
    <d v="2025-02-15T00:00:00"/>
    <x v="1"/>
    <s v="NULL"/>
    <x v="1"/>
    <n v="6"/>
    <n v="2"/>
    <n v="23"/>
    <s v="No"/>
    <n v="0"/>
    <n v="1"/>
    <n v="1"/>
    <n v="0"/>
    <n v="2"/>
    <x v="0"/>
  </r>
  <r>
    <s v="CUST-0241"/>
    <x v="1"/>
    <x v="0"/>
    <s v="Technology"/>
    <x v="0"/>
    <n v="66"/>
    <n v="312"/>
    <x v="3"/>
    <s v="Asia Pacific"/>
    <d v="2023-09-09T00:00:00"/>
    <x v="0"/>
    <s v="2023-10-29"/>
    <x v="4"/>
    <n v="1"/>
    <n v="4"/>
    <n v="15"/>
    <s v="No"/>
    <n v="1"/>
    <n v="1"/>
    <n v="1"/>
    <n v="0"/>
    <n v="2"/>
    <x v="0"/>
  </r>
  <r>
    <s v="CUST-0242"/>
    <x v="2"/>
    <x v="1"/>
    <s v="Manufacturing"/>
    <x v="2"/>
    <n v="10"/>
    <n v="398"/>
    <x v="4"/>
    <s v="Asia Pacific"/>
    <d v="2023-11-02T00:00:00"/>
    <x v="1"/>
    <s v="NULL"/>
    <x v="1"/>
    <n v="1"/>
    <n v="8"/>
    <n v="38"/>
    <s v="No"/>
    <n v="0"/>
    <n v="1"/>
    <n v="0"/>
    <n v="0"/>
    <n v="1"/>
    <x v="1"/>
  </r>
  <r>
    <s v="CUST-0243"/>
    <x v="3"/>
    <x v="0"/>
    <s v="Retail"/>
    <x v="4"/>
    <n v="122"/>
    <n v="9556"/>
    <x v="0"/>
    <s v="North America"/>
    <d v="2024-10-07T00:00:00"/>
    <x v="1"/>
    <s v="NULL"/>
    <x v="1"/>
    <n v="4"/>
    <n v="7"/>
    <n v="94"/>
    <s v="Yes"/>
    <n v="0"/>
    <n v="0"/>
    <n v="0"/>
    <n v="0"/>
    <n v="0"/>
    <x v="2"/>
  </r>
  <r>
    <s v="CUST-0244"/>
    <x v="1"/>
    <x v="0"/>
    <s v="Technology"/>
    <x v="0"/>
    <n v="23"/>
    <n v="125"/>
    <x v="4"/>
    <s v="Europe"/>
    <d v="2025-04-21T00:00:00"/>
    <x v="0"/>
    <s v="2025-05-07"/>
    <x v="2"/>
    <n v="7"/>
    <n v="6"/>
    <n v="18"/>
    <s v="No"/>
    <n v="1"/>
    <n v="1"/>
    <n v="1"/>
    <n v="0"/>
    <n v="2"/>
    <x v="0"/>
  </r>
  <r>
    <s v="CUST-0245"/>
    <x v="2"/>
    <x v="1"/>
    <s v="Manufacturing"/>
    <x v="3"/>
    <n v="1"/>
    <n v="169"/>
    <x v="0"/>
    <s v="North America"/>
    <d v="2025-11-28T00:00:00"/>
    <x v="1"/>
    <s v="NULL"/>
    <x v="1"/>
    <n v="5"/>
    <n v="3"/>
    <n v="39"/>
    <s v="No"/>
    <n v="0"/>
    <n v="1"/>
    <n v="1"/>
    <n v="0"/>
    <n v="2"/>
    <x v="0"/>
  </r>
  <r>
    <s v="CUST-0246"/>
    <x v="0"/>
    <x v="0"/>
    <s v="Consulting"/>
    <x v="3"/>
    <n v="6"/>
    <n v="138"/>
    <x v="3"/>
    <s v="Europe"/>
    <d v="2024-04-15T00:00:00"/>
    <x v="0"/>
    <s v="2024-06-23"/>
    <x v="7"/>
    <n v="5"/>
    <n v="4"/>
    <n v="14"/>
    <s v="No"/>
    <n v="1"/>
    <n v="1"/>
    <n v="1"/>
    <n v="0"/>
    <n v="2"/>
    <x v="0"/>
  </r>
  <r>
    <s v="CUST-0247"/>
    <x v="2"/>
    <x v="1"/>
    <s v="Media"/>
    <x v="1"/>
    <n v="251"/>
    <n v="6512"/>
    <x v="5"/>
    <s v="Latin America"/>
    <d v="2025-11-07T00:00:00"/>
    <x v="1"/>
    <s v="NULL"/>
    <x v="1"/>
    <n v="10"/>
    <n v="6"/>
    <n v="38"/>
    <s v="No"/>
    <n v="0"/>
    <n v="1"/>
    <n v="1"/>
    <n v="0"/>
    <n v="2"/>
    <x v="0"/>
  </r>
  <r>
    <s v="CUST-0248"/>
    <x v="1"/>
    <x v="1"/>
    <s v="Healthcare"/>
    <x v="4"/>
    <n v="111"/>
    <n v="431"/>
    <x v="1"/>
    <s v="Europe"/>
    <d v="2024-03-22T00:00:00"/>
    <x v="0"/>
    <s v="2024-11-18"/>
    <x v="5"/>
    <n v="5"/>
    <n v="1"/>
    <n v="36"/>
    <s v="No"/>
    <n v="1"/>
    <n v="1"/>
    <n v="1"/>
    <n v="0"/>
    <n v="2"/>
    <x v="0"/>
  </r>
  <r>
    <s v="CUST-0249"/>
    <x v="0"/>
    <x v="0"/>
    <s v="Finance"/>
    <x v="3"/>
    <n v="6"/>
    <n v="138"/>
    <x v="1"/>
    <s v="North America"/>
    <d v="2025-04-18T00:00:00"/>
    <x v="0"/>
    <s v="2025-10-15"/>
    <x v="2"/>
    <n v="5"/>
    <n v="3"/>
    <n v="36"/>
    <s v="No"/>
    <n v="1"/>
    <n v="1"/>
    <n v="1"/>
    <n v="0"/>
    <n v="2"/>
    <x v="0"/>
  </r>
  <r>
    <s v="CUST-0250"/>
    <x v="2"/>
    <x v="0"/>
    <s v="Education"/>
    <x v="3"/>
    <n v="1"/>
    <n v="199"/>
    <x v="3"/>
    <s v="North America"/>
    <d v="2025-10-14T00:00:00"/>
    <x v="1"/>
    <s v="NULL"/>
    <x v="1"/>
    <n v="1"/>
    <n v="10"/>
    <n v="69"/>
    <s v="No"/>
    <n v="0"/>
    <n v="0"/>
    <n v="0"/>
    <n v="0"/>
    <n v="0"/>
    <x v="2"/>
  </r>
  <r>
    <s v="CUST-0251"/>
    <x v="1"/>
    <x v="1"/>
    <s v="Legal"/>
    <x v="2"/>
    <n v="31"/>
    <n v="136"/>
    <x v="2"/>
    <s v="Europe"/>
    <d v="2022-09-28T00:00:00"/>
    <x v="0"/>
    <s v="2025-01-12"/>
    <x v="0"/>
    <n v="0"/>
    <n v="6"/>
    <n v="40"/>
    <s v="No"/>
    <n v="1"/>
    <n v="1"/>
    <n v="1"/>
    <n v="0"/>
    <n v="2"/>
    <x v="0"/>
  </r>
  <r>
    <s v="CUST-0252"/>
    <x v="2"/>
    <x v="1"/>
    <s v="Legal"/>
    <x v="2"/>
    <n v="19"/>
    <n v="626"/>
    <x v="5"/>
    <s v="North America"/>
    <d v="2024-05-12T00:00:00"/>
    <x v="0"/>
    <s v="2025-10-19"/>
    <x v="2"/>
    <n v="15"/>
    <n v="2"/>
    <n v="47"/>
    <s v="No"/>
    <n v="1"/>
    <n v="1"/>
    <n v="1"/>
    <n v="1"/>
    <n v="3"/>
    <x v="0"/>
  </r>
  <r>
    <s v="CUST-0253"/>
    <x v="0"/>
    <x v="0"/>
    <s v="Legal"/>
    <x v="2"/>
    <n v="32"/>
    <n v="446"/>
    <x v="0"/>
    <s v="North America"/>
    <d v="2022-11-29T00:00:00"/>
    <x v="0"/>
    <s v="2024-01-13"/>
    <x v="5"/>
    <n v="7"/>
    <n v="1"/>
    <n v="20"/>
    <s v="No"/>
    <n v="1"/>
    <n v="1"/>
    <n v="1"/>
    <n v="0"/>
    <n v="2"/>
    <x v="0"/>
  </r>
  <r>
    <s v="CUST-0254"/>
    <x v="1"/>
    <x v="1"/>
    <s v="Media"/>
    <x v="2"/>
    <n v="12"/>
    <n v="65"/>
    <x v="0"/>
    <s v="Europe"/>
    <d v="2025-05-18T00:00:00"/>
    <x v="1"/>
    <s v="NULL"/>
    <x v="1"/>
    <n v="0"/>
    <n v="9"/>
    <n v="50"/>
    <s v="Yes"/>
    <n v="0"/>
    <n v="0"/>
    <n v="0"/>
    <n v="0"/>
    <n v="0"/>
    <x v="2"/>
  </r>
  <r>
    <s v="CUST-0255"/>
    <x v="2"/>
    <x v="0"/>
    <s v="Real Estate"/>
    <x v="3"/>
    <n v="1"/>
    <n v="199"/>
    <x v="0"/>
    <s v="Europe"/>
    <d v="2022-03-25T00:00:00"/>
    <x v="0"/>
    <s v="2022-04-20"/>
    <x v="4"/>
    <n v="14"/>
    <n v="5"/>
    <n v="28"/>
    <s v="No"/>
    <n v="1"/>
    <n v="1"/>
    <n v="1"/>
    <n v="1"/>
    <n v="3"/>
    <x v="0"/>
  </r>
  <r>
    <s v="CUST-0256"/>
    <x v="2"/>
    <x v="0"/>
    <s v="Education"/>
    <x v="2"/>
    <n v="7"/>
    <n v="378"/>
    <x v="0"/>
    <s v="North America"/>
    <d v="2023-03-07T00:00:00"/>
    <x v="1"/>
    <s v="NULL"/>
    <x v="1"/>
    <n v="10"/>
    <n v="10"/>
    <n v="58"/>
    <s v="Yes"/>
    <n v="0"/>
    <n v="0"/>
    <n v="0"/>
    <n v="0"/>
    <n v="0"/>
    <x v="2"/>
  </r>
  <r>
    <s v="CUST-0257"/>
    <x v="1"/>
    <x v="1"/>
    <s v="Retail"/>
    <x v="1"/>
    <n v="285"/>
    <n v="1075"/>
    <x v="5"/>
    <s v="North America"/>
    <d v="2024-09-27T00:00:00"/>
    <x v="1"/>
    <s v="NULL"/>
    <x v="1"/>
    <n v="2"/>
    <n v="9"/>
    <n v="91"/>
    <s v="Yes"/>
    <n v="0"/>
    <n v="0"/>
    <n v="0"/>
    <n v="0"/>
    <n v="0"/>
    <x v="2"/>
  </r>
  <r>
    <s v="CUST-0258"/>
    <x v="1"/>
    <x v="1"/>
    <s v="Real Estate"/>
    <x v="0"/>
    <n v="31"/>
    <n v="136"/>
    <x v="3"/>
    <s v="Europe"/>
    <d v="2022-04-19T00:00:00"/>
    <x v="0"/>
    <s v="2024-04-18"/>
    <x v="6"/>
    <n v="4"/>
    <n v="5"/>
    <n v="36"/>
    <s v="No"/>
    <n v="1"/>
    <n v="1"/>
    <n v="1"/>
    <n v="0"/>
    <n v="2"/>
    <x v="0"/>
  </r>
  <r>
    <s v="CUST-0259"/>
    <x v="0"/>
    <x v="1"/>
    <s v="Media"/>
    <x v="4"/>
    <n v="143"/>
    <n v="1497"/>
    <x v="2"/>
    <s v="Asia Pacific"/>
    <d v="2025-07-02T00:00:00"/>
    <x v="1"/>
    <s v="NULL"/>
    <x v="1"/>
    <n v="3"/>
    <n v="1"/>
    <n v="84"/>
    <s v="No"/>
    <n v="0"/>
    <n v="0"/>
    <n v="1"/>
    <n v="0"/>
    <n v="1"/>
    <x v="1"/>
  </r>
  <r>
    <s v="CUST-0260"/>
    <x v="0"/>
    <x v="0"/>
    <s v="Real Estate"/>
    <x v="1"/>
    <n v="193"/>
    <n v="2354"/>
    <x v="0"/>
    <s v="North America"/>
    <d v="2023-07-30T00:00:00"/>
    <x v="0"/>
    <s v="2025-02-05"/>
    <x v="3"/>
    <n v="3"/>
    <n v="3"/>
    <n v="39"/>
    <s v="No"/>
    <n v="1"/>
    <n v="1"/>
    <n v="1"/>
    <n v="0"/>
    <n v="2"/>
    <x v="0"/>
  </r>
  <r>
    <s v="CUST-0261"/>
    <x v="0"/>
    <x v="1"/>
    <s v="Legal"/>
    <x v="3"/>
    <n v="5"/>
    <n v="107"/>
    <x v="0"/>
    <s v="North America"/>
    <d v="2024-09-08T00:00:00"/>
    <x v="1"/>
    <s v="NULL"/>
    <x v="1"/>
    <n v="1"/>
    <n v="9"/>
    <n v="95"/>
    <s v="No"/>
    <n v="0"/>
    <n v="0"/>
    <n v="0"/>
    <n v="0"/>
    <n v="0"/>
    <x v="2"/>
  </r>
  <r>
    <s v="CUST-0262"/>
    <x v="2"/>
    <x v="0"/>
    <s v="Manufacturing"/>
    <x v="3"/>
    <n v="8"/>
    <n v="408"/>
    <x v="2"/>
    <s v="North America"/>
    <d v="2024-02-05T00:00:00"/>
    <x v="0"/>
    <s v="2025-05-14"/>
    <x v="4"/>
    <n v="14"/>
    <n v="6"/>
    <n v="19"/>
    <s v="No"/>
    <n v="1"/>
    <n v="1"/>
    <n v="1"/>
    <n v="1"/>
    <n v="3"/>
    <x v="0"/>
  </r>
  <r>
    <s v="CUST-0263"/>
    <x v="2"/>
    <x v="1"/>
    <s v="Healthcare"/>
    <x v="2"/>
    <n v="8"/>
    <n v="347"/>
    <x v="2"/>
    <s v="Europe"/>
    <d v="2025-08-08T00:00:00"/>
    <x v="1"/>
    <s v="NULL"/>
    <x v="1"/>
    <n v="3"/>
    <n v="6"/>
    <n v="43"/>
    <s v="No"/>
    <n v="0"/>
    <n v="1"/>
    <n v="1"/>
    <n v="0"/>
    <n v="2"/>
    <x v="0"/>
  </r>
  <r>
    <s v="CUST-0264"/>
    <x v="1"/>
    <x v="0"/>
    <s v="Media"/>
    <x v="0"/>
    <n v="52"/>
    <n v="251"/>
    <x v="0"/>
    <s v="North America"/>
    <d v="2025-02-14T00:00:00"/>
    <x v="1"/>
    <s v="NULL"/>
    <x v="1"/>
    <n v="2"/>
    <n v="7"/>
    <n v="42"/>
    <s v="No"/>
    <n v="0"/>
    <n v="1"/>
    <n v="0"/>
    <n v="0"/>
    <n v="1"/>
    <x v="1"/>
  </r>
  <r>
    <s v="CUST-0265"/>
    <x v="0"/>
    <x v="0"/>
    <s v="Manufacturing"/>
    <x v="0"/>
    <n v="45"/>
    <n v="600"/>
    <x v="4"/>
    <s v="North America"/>
    <d v="2025-03-22T00:00:00"/>
    <x v="1"/>
    <s v="NULL"/>
    <x v="1"/>
    <n v="11"/>
    <n v="1"/>
    <n v="56"/>
    <s v="No"/>
    <n v="0"/>
    <n v="0"/>
    <n v="1"/>
    <n v="1"/>
    <n v="2"/>
    <x v="0"/>
  </r>
  <r>
    <s v="CUST-0266"/>
    <x v="1"/>
    <x v="1"/>
    <s v="Retail"/>
    <x v="2"/>
    <n v="22"/>
    <n v="102"/>
    <x v="3"/>
    <s v="North America"/>
    <d v="2022-04-14T00:00:00"/>
    <x v="0"/>
    <s v="2022-07-08"/>
    <x v="4"/>
    <n v="5"/>
    <n v="4"/>
    <n v="20"/>
    <s v="No"/>
    <n v="1"/>
    <n v="1"/>
    <n v="1"/>
    <n v="0"/>
    <n v="2"/>
    <x v="0"/>
  </r>
  <r>
    <s v="CUST-0267"/>
    <x v="3"/>
    <x v="0"/>
    <s v="Consulting"/>
    <x v="3"/>
    <n v="3"/>
    <n v="649"/>
    <x v="4"/>
    <s v="Asia Pacific"/>
    <d v="2023-05-07T00:00:00"/>
    <x v="1"/>
    <s v="NULL"/>
    <x v="1"/>
    <n v="3"/>
    <n v="1"/>
    <n v="41"/>
    <s v="No"/>
    <n v="0"/>
    <n v="1"/>
    <n v="1"/>
    <n v="0"/>
    <n v="2"/>
    <x v="0"/>
  </r>
  <r>
    <s v="CUST-0268"/>
    <x v="0"/>
    <x v="1"/>
    <s v="Retail"/>
    <x v="4"/>
    <n v="49"/>
    <n v="551"/>
    <x v="0"/>
    <s v="North America"/>
    <d v="2022-09-26T00:00:00"/>
    <x v="1"/>
    <s v="NULL"/>
    <x v="1"/>
    <n v="12"/>
    <n v="7"/>
    <n v="46"/>
    <s v="No"/>
    <n v="0"/>
    <n v="1"/>
    <n v="0"/>
    <n v="1"/>
    <n v="2"/>
    <x v="0"/>
  </r>
  <r>
    <s v="CUST-0269"/>
    <x v="0"/>
    <x v="0"/>
    <s v="Consulting"/>
    <x v="3"/>
    <n v="3"/>
    <n v="103"/>
    <x v="5"/>
    <s v="Asia Pacific"/>
    <d v="2025-04-03T00:00:00"/>
    <x v="0"/>
    <s v="2025-12-11"/>
    <x v="6"/>
    <n v="3"/>
    <n v="2"/>
    <n v="20"/>
    <s v="No"/>
    <n v="1"/>
    <n v="1"/>
    <n v="1"/>
    <n v="0"/>
    <n v="2"/>
    <x v="0"/>
  </r>
  <r>
    <s v="CUST-0270"/>
    <x v="0"/>
    <x v="0"/>
    <s v="Media"/>
    <x v="0"/>
    <n v="66"/>
    <n v="849"/>
    <x v="3"/>
    <s v="North America"/>
    <d v="2023-02-25T00:00:00"/>
    <x v="0"/>
    <s v="2025-08-03"/>
    <x v="0"/>
    <n v="6"/>
    <n v="2"/>
    <n v="37"/>
    <s v="No"/>
    <n v="1"/>
    <n v="1"/>
    <n v="1"/>
    <n v="0"/>
    <n v="2"/>
    <x v="0"/>
  </r>
  <r>
    <s v="CUST-0271"/>
    <x v="0"/>
    <x v="0"/>
    <s v="Technology"/>
    <x v="2"/>
    <n v="13"/>
    <n v="221"/>
    <x v="0"/>
    <s v="North America"/>
    <d v="2025-02-24T00:00:00"/>
    <x v="0"/>
    <s v="2025-03-05"/>
    <x v="5"/>
    <n v="6"/>
    <n v="4"/>
    <n v="19"/>
    <s v="No"/>
    <n v="1"/>
    <n v="1"/>
    <n v="1"/>
    <n v="0"/>
    <n v="2"/>
    <x v="0"/>
  </r>
  <r>
    <s v="CUST-0272"/>
    <x v="1"/>
    <x v="0"/>
    <s v="Legal"/>
    <x v="4"/>
    <n v="103"/>
    <n v="473"/>
    <x v="2"/>
    <s v="Europe"/>
    <d v="2024-02-21T00:00:00"/>
    <x v="0"/>
    <s v="2024-05-27"/>
    <x v="4"/>
    <n v="11"/>
    <n v="1"/>
    <n v="14"/>
    <s v="No"/>
    <n v="1"/>
    <n v="1"/>
    <n v="1"/>
    <n v="1"/>
    <n v="3"/>
    <x v="0"/>
  </r>
  <r>
    <s v="CUST-0273"/>
    <x v="0"/>
    <x v="1"/>
    <s v="Manufacturing"/>
    <x v="3"/>
    <n v="6"/>
    <n v="118"/>
    <x v="0"/>
    <s v="Latin America"/>
    <d v="2025-12-31T00:00:00"/>
    <x v="1"/>
    <s v="NULL"/>
    <x v="1"/>
    <n v="2"/>
    <n v="9"/>
    <n v="20"/>
    <s v="No"/>
    <n v="0"/>
    <n v="1"/>
    <n v="0"/>
    <n v="0"/>
    <n v="1"/>
    <x v="1"/>
  </r>
  <r>
    <s v="CUST-0274"/>
    <x v="0"/>
    <x v="1"/>
    <s v="Finance"/>
    <x v="0"/>
    <n v="41"/>
    <n v="470"/>
    <x v="2"/>
    <s v="Europe"/>
    <d v="2025-08-13T00:00:00"/>
    <x v="1"/>
    <s v="NULL"/>
    <x v="1"/>
    <n v="2"/>
    <n v="8"/>
    <n v="37"/>
    <s v="No"/>
    <n v="0"/>
    <n v="1"/>
    <n v="0"/>
    <n v="0"/>
    <n v="1"/>
    <x v="1"/>
  </r>
  <r>
    <s v="CUST-0275"/>
    <x v="2"/>
    <x v="0"/>
    <s v="Education"/>
    <x v="3"/>
    <n v="6"/>
    <n v="348"/>
    <x v="0"/>
    <s v="Latin America"/>
    <d v="2024-10-01T00:00:00"/>
    <x v="1"/>
    <s v="NULL"/>
    <x v="1"/>
    <n v="7"/>
    <n v="7"/>
    <n v="30"/>
    <s v="No"/>
    <n v="0"/>
    <n v="1"/>
    <n v="0"/>
    <n v="0"/>
    <n v="1"/>
    <x v="1"/>
  </r>
  <r>
    <s v="CUST-0276"/>
    <x v="1"/>
    <x v="0"/>
    <s v="Legal"/>
    <x v="4"/>
    <n v="50"/>
    <n v="242"/>
    <x v="3"/>
    <s v="Asia Pacific"/>
    <d v="2024-01-28T00:00:00"/>
    <x v="1"/>
    <s v="NULL"/>
    <x v="1"/>
    <n v="0"/>
    <n v="3"/>
    <n v="40"/>
    <s v="Yes"/>
    <n v="0"/>
    <n v="1"/>
    <n v="1"/>
    <n v="0"/>
    <n v="2"/>
    <x v="0"/>
  </r>
  <r>
    <s v="CUST-0277"/>
    <x v="3"/>
    <x v="0"/>
    <s v="Education"/>
    <x v="2"/>
    <n v="31"/>
    <n v="2745"/>
    <x v="3"/>
    <s v="Europe"/>
    <d v="2023-02-02T00:00:00"/>
    <x v="0"/>
    <s v="2023-05-07"/>
    <x v="3"/>
    <n v="3"/>
    <n v="1"/>
    <n v="12"/>
    <s v="No"/>
    <n v="1"/>
    <n v="1"/>
    <n v="1"/>
    <n v="0"/>
    <n v="2"/>
    <x v="0"/>
  </r>
  <r>
    <s v="CUST-0278"/>
    <x v="2"/>
    <x v="0"/>
    <s v="Finance"/>
    <x v="0"/>
    <n v="48"/>
    <n v="1602"/>
    <x v="0"/>
    <s v="Europe"/>
    <d v="2025-10-17T00:00:00"/>
    <x v="1"/>
    <s v="NULL"/>
    <x v="1"/>
    <n v="7"/>
    <n v="4"/>
    <n v="52"/>
    <s v="No"/>
    <n v="0"/>
    <n v="0"/>
    <n v="1"/>
    <n v="0"/>
    <n v="1"/>
    <x v="1"/>
  </r>
  <r>
    <s v="CUST-0279"/>
    <x v="1"/>
    <x v="0"/>
    <s v="Finance"/>
    <x v="3"/>
    <n v="7"/>
    <n v="55"/>
    <x v="0"/>
    <s v="North America"/>
    <d v="2025-09-09T00:00:00"/>
    <x v="1"/>
    <s v="NULL"/>
    <x v="1"/>
    <n v="4"/>
    <n v="3"/>
    <n v="93"/>
    <s v="No"/>
    <n v="0"/>
    <n v="0"/>
    <n v="1"/>
    <n v="0"/>
    <n v="1"/>
    <x v="1"/>
  </r>
  <r>
    <s v="CUST-0280"/>
    <x v="1"/>
    <x v="0"/>
    <s v="Healthcare"/>
    <x v="3"/>
    <n v="3"/>
    <n v="38"/>
    <x v="1"/>
    <s v="Europe"/>
    <d v="2025-05-01T00:00:00"/>
    <x v="1"/>
    <s v="NULL"/>
    <x v="1"/>
    <n v="2"/>
    <n v="6"/>
    <n v="66"/>
    <s v="No"/>
    <n v="0"/>
    <n v="0"/>
    <n v="1"/>
    <n v="0"/>
    <n v="1"/>
    <x v="1"/>
  </r>
  <r>
    <s v="CUST-0281"/>
    <x v="2"/>
    <x v="1"/>
    <s v="Legal"/>
    <x v="2"/>
    <n v="25"/>
    <n v="778"/>
    <x v="2"/>
    <s v="North America"/>
    <d v="2025-06-11T00:00:00"/>
    <x v="1"/>
    <s v="NULL"/>
    <x v="1"/>
    <n v="4"/>
    <n v="3"/>
    <n v="90"/>
    <s v="No"/>
    <n v="0"/>
    <n v="0"/>
    <n v="1"/>
    <n v="0"/>
    <n v="1"/>
    <x v="1"/>
  </r>
  <r>
    <s v="CUST-0282"/>
    <x v="0"/>
    <x v="0"/>
    <s v="Finance"/>
    <x v="2"/>
    <n v="15"/>
    <n v="245"/>
    <x v="2"/>
    <s v="North America"/>
    <d v="2025-05-03T00:00:00"/>
    <x v="1"/>
    <s v="NULL"/>
    <x v="1"/>
    <n v="1"/>
    <n v="6"/>
    <n v="86"/>
    <s v="Yes"/>
    <n v="0"/>
    <n v="0"/>
    <n v="1"/>
    <n v="0"/>
    <n v="1"/>
    <x v="1"/>
  </r>
  <r>
    <s v="CUST-0283"/>
    <x v="0"/>
    <x v="0"/>
    <s v="Manufacturing"/>
    <x v="0"/>
    <n v="18"/>
    <n v="280"/>
    <x v="4"/>
    <s v="North America"/>
    <d v="2022-11-22T00:00:00"/>
    <x v="0"/>
    <s v="2025-09-25"/>
    <x v="3"/>
    <n v="6"/>
    <n v="2"/>
    <n v="11"/>
    <s v="No"/>
    <n v="1"/>
    <n v="1"/>
    <n v="1"/>
    <n v="0"/>
    <n v="2"/>
    <x v="0"/>
  </r>
  <r>
    <s v="CUST-0284"/>
    <x v="1"/>
    <x v="0"/>
    <s v="Manufacturing"/>
    <x v="4"/>
    <n v="82"/>
    <n v="381"/>
    <x v="0"/>
    <s v="North America"/>
    <d v="2024-11-10T00:00:00"/>
    <x v="1"/>
    <s v="NULL"/>
    <x v="1"/>
    <n v="10"/>
    <n v="4"/>
    <n v="84"/>
    <s v="Yes"/>
    <n v="0"/>
    <n v="0"/>
    <n v="1"/>
    <n v="0"/>
    <n v="1"/>
    <x v="1"/>
  </r>
  <r>
    <s v="CUST-0285"/>
    <x v="1"/>
    <x v="0"/>
    <s v="Healthcare"/>
    <x v="4"/>
    <n v="111"/>
    <n v="508"/>
    <x v="5"/>
    <s v="North America"/>
    <d v="2025-12-13T00:00:00"/>
    <x v="1"/>
    <s v="NULL"/>
    <x v="1"/>
    <n v="9"/>
    <n v="7"/>
    <n v="73"/>
    <s v="No"/>
    <n v="0"/>
    <n v="0"/>
    <n v="0"/>
    <n v="0"/>
    <n v="0"/>
    <x v="2"/>
  </r>
  <r>
    <s v="CUST-0286"/>
    <x v="2"/>
    <x v="1"/>
    <s v="Finance"/>
    <x v="3"/>
    <n v="2"/>
    <n v="195"/>
    <x v="0"/>
    <s v="Latin America"/>
    <d v="2023-07-02T00:00:00"/>
    <x v="0"/>
    <s v="2023-09-25"/>
    <x v="4"/>
    <n v="1"/>
    <n v="2"/>
    <n v="39"/>
    <s v="No"/>
    <n v="1"/>
    <n v="1"/>
    <n v="1"/>
    <n v="0"/>
    <n v="2"/>
    <x v="0"/>
  </r>
  <r>
    <s v="CUST-0287"/>
    <x v="3"/>
    <x v="0"/>
    <s v="Manufacturing"/>
    <x v="0"/>
    <n v="71"/>
    <n v="5739"/>
    <x v="3"/>
    <s v="North America"/>
    <d v="2023-01-13T00:00:00"/>
    <x v="1"/>
    <s v="NULL"/>
    <x v="1"/>
    <n v="9"/>
    <n v="10"/>
    <n v="36"/>
    <s v="No"/>
    <n v="0"/>
    <n v="1"/>
    <n v="0"/>
    <n v="0"/>
    <n v="1"/>
    <x v="1"/>
  </r>
  <r>
    <s v="CUST-0288"/>
    <x v="2"/>
    <x v="0"/>
    <s v="Technology"/>
    <x v="2"/>
    <n v="19"/>
    <n v="736"/>
    <x v="0"/>
    <s v="North America"/>
    <d v="2025-03-22T00:00:00"/>
    <x v="1"/>
    <s v="NULL"/>
    <x v="1"/>
    <n v="12"/>
    <n v="9"/>
    <n v="47"/>
    <s v="Yes"/>
    <n v="0"/>
    <n v="1"/>
    <n v="0"/>
    <n v="1"/>
    <n v="2"/>
    <x v="0"/>
  </r>
  <r>
    <s v="CUST-0289"/>
    <x v="0"/>
    <x v="0"/>
    <s v="Manufacturing"/>
    <x v="0"/>
    <n v="51"/>
    <n v="672"/>
    <x v="0"/>
    <s v="North America"/>
    <d v="2022-01-06T00:00:00"/>
    <x v="1"/>
    <s v="NULL"/>
    <x v="1"/>
    <n v="3"/>
    <n v="7"/>
    <n v="75"/>
    <s v="No"/>
    <n v="0"/>
    <n v="0"/>
    <n v="0"/>
    <n v="0"/>
    <n v="0"/>
    <x v="2"/>
  </r>
  <r>
    <s v="CUST-0290"/>
    <x v="2"/>
    <x v="1"/>
    <s v="Consulting"/>
    <x v="4"/>
    <n v="55"/>
    <n v="1539"/>
    <x v="4"/>
    <s v="Latin America"/>
    <d v="2022-07-29T00:00:00"/>
    <x v="0"/>
    <s v="2024-05-29"/>
    <x v="2"/>
    <n v="8"/>
    <n v="2"/>
    <n v="34"/>
    <s v="No"/>
    <n v="1"/>
    <n v="1"/>
    <n v="1"/>
    <n v="0"/>
    <n v="2"/>
    <x v="0"/>
  </r>
  <r>
    <s v="CUST-0291"/>
    <x v="3"/>
    <x v="1"/>
    <s v="Finance"/>
    <x v="0"/>
    <n v="16"/>
    <n v="1378"/>
    <x v="5"/>
    <s v="North America"/>
    <d v="2023-01-12T00:00:00"/>
    <x v="1"/>
    <s v="NULL"/>
    <x v="1"/>
    <n v="9"/>
    <n v="6"/>
    <n v="31"/>
    <s v="No"/>
    <n v="0"/>
    <n v="1"/>
    <n v="1"/>
    <n v="0"/>
    <n v="2"/>
    <x v="0"/>
  </r>
  <r>
    <s v="CUST-0292"/>
    <x v="0"/>
    <x v="0"/>
    <s v="Technology"/>
    <x v="3"/>
    <n v="8"/>
    <n v="162"/>
    <x v="1"/>
    <s v="North America"/>
    <d v="2023-07-03T00:00:00"/>
    <x v="0"/>
    <s v="2025-01-31"/>
    <x v="3"/>
    <n v="3"/>
    <n v="1"/>
    <n v="32"/>
    <s v="No"/>
    <n v="1"/>
    <n v="1"/>
    <n v="1"/>
    <n v="0"/>
    <n v="2"/>
    <x v="0"/>
  </r>
  <r>
    <s v="CUST-0293"/>
    <x v="0"/>
    <x v="0"/>
    <s v="Finance"/>
    <x v="2"/>
    <n v="24"/>
    <n v="352"/>
    <x v="1"/>
    <s v="North America"/>
    <d v="2022-02-21T00:00:00"/>
    <x v="0"/>
    <s v="2022-08-11"/>
    <x v="3"/>
    <n v="8"/>
    <n v="1"/>
    <n v="35"/>
    <s v="No"/>
    <n v="1"/>
    <n v="1"/>
    <n v="1"/>
    <n v="0"/>
    <n v="2"/>
    <x v="0"/>
  </r>
  <r>
    <s v="CUST-0294"/>
    <x v="2"/>
    <x v="0"/>
    <s v="Finance"/>
    <x v="0"/>
    <n v="51"/>
    <n v="1692"/>
    <x v="3"/>
    <s v="North America"/>
    <d v="2025-08-22T00:00:00"/>
    <x v="0"/>
    <s v="2025-11-14"/>
    <x v="3"/>
    <n v="1"/>
    <n v="4"/>
    <n v="25"/>
    <s v="No"/>
    <n v="1"/>
    <n v="1"/>
    <n v="1"/>
    <n v="0"/>
    <n v="2"/>
    <x v="0"/>
  </r>
  <r>
    <s v="CUST-0295"/>
    <x v="1"/>
    <x v="0"/>
    <s v="Manufacturing"/>
    <x v="4"/>
    <n v="34"/>
    <n v="173"/>
    <x v="3"/>
    <s v="Europe"/>
    <d v="2022-10-12T00:00:00"/>
    <x v="0"/>
    <s v="2022-10-29"/>
    <x v="4"/>
    <n v="6"/>
    <n v="4"/>
    <n v="12"/>
    <s v="No"/>
    <n v="1"/>
    <n v="1"/>
    <n v="1"/>
    <n v="0"/>
    <n v="2"/>
    <x v="0"/>
  </r>
  <r>
    <s v="CUST-0296"/>
    <x v="1"/>
    <x v="0"/>
    <s v="Education"/>
    <x v="4"/>
    <n v="146"/>
    <n v="660"/>
    <x v="2"/>
    <s v="North America"/>
    <d v="2023-10-19T00:00:00"/>
    <x v="0"/>
    <s v="2023-11-10"/>
    <x v="0"/>
    <n v="8"/>
    <n v="3"/>
    <n v="13"/>
    <s v="No"/>
    <n v="1"/>
    <n v="1"/>
    <n v="1"/>
    <n v="0"/>
    <n v="2"/>
    <x v="0"/>
  </r>
  <r>
    <s v="CUST-0297"/>
    <x v="2"/>
    <x v="0"/>
    <s v="Technology"/>
    <x v="0"/>
    <n v="36"/>
    <n v="1244"/>
    <x v="4"/>
    <s v="North America"/>
    <d v="2024-12-19T00:00:00"/>
    <x v="1"/>
    <s v="NULL"/>
    <x v="1"/>
    <n v="6"/>
    <n v="10"/>
    <n v="82"/>
    <s v="No"/>
    <n v="0"/>
    <n v="0"/>
    <n v="0"/>
    <n v="0"/>
    <n v="0"/>
    <x v="2"/>
  </r>
  <r>
    <s v="CUST-0298"/>
    <x v="1"/>
    <x v="0"/>
    <s v="Education"/>
    <x v="0"/>
    <n v="70"/>
    <n v="329"/>
    <x v="1"/>
    <s v="Latin America"/>
    <d v="2023-06-28T00:00:00"/>
    <x v="0"/>
    <s v="2024-08-27"/>
    <x v="4"/>
    <n v="15"/>
    <n v="2"/>
    <n v="11"/>
    <s v="No"/>
    <n v="1"/>
    <n v="1"/>
    <n v="1"/>
    <n v="1"/>
    <n v="3"/>
    <x v="0"/>
  </r>
  <r>
    <s v="CUST-0299"/>
    <x v="2"/>
    <x v="0"/>
    <s v="Retail"/>
    <x v="2"/>
    <n v="13"/>
    <n v="557"/>
    <x v="0"/>
    <s v="North America"/>
    <d v="2022-04-29T00:00:00"/>
    <x v="0"/>
    <s v="2022-07-15"/>
    <x v="0"/>
    <n v="6"/>
    <n v="6"/>
    <n v="43"/>
    <s v="No"/>
    <n v="1"/>
    <n v="1"/>
    <n v="1"/>
    <n v="0"/>
    <n v="2"/>
    <x v="0"/>
  </r>
  <r>
    <s v="CUST-0300"/>
    <x v="1"/>
    <x v="0"/>
    <s v="Manufacturing"/>
    <x v="2"/>
    <n v="23"/>
    <n v="125"/>
    <x v="4"/>
    <s v="Europe"/>
    <d v="2025-06-06T00:00:00"/>
    <x v="1"/>
    <s v="NULL"/>
    <x v="1"/>
    <n v="11"/>
    <n v="10"/>
    <n v="44"/>
    <s v="No"/>
    <n v="0"/>
    <n v="1"/>
    <n v="0"/>
    <n v="1"/>
    <n v="2"/>
    <x v="0"/>
  </r>
  <r>
    <s v="CUST-0301"/>
    <x v="0"/>
    <x v="1"/>
    <s v="Legal"/>
    <x v="4"/>
    <n v="108"/>
    <n v="1145"/>
    <x v="0"/>
    <s v="North America"/>
    <d v="2024-12-14T00:00:00"/>
    <x v="1"/>
    <s v="NULL"/>
    <x v="1"/>
    <n v="3"/>
    <n v="6"/>
    <n v="32"/>
    <s v="Yes"/>
    <n v="0"/>
    <n v="1"/>
    <n v="1"/>
    <n v="0"/>
    <n v="2"/>
    <x v="0"/>
  </r>
  <r>
    <s v="CUST-0302"/>
    <x v="2"/>
    <x v="1"/>
    <s v="Finance"/>
    <x v="2"/>
    <n v="19"/>
    <n v="626"/>
    <x v="4"/>
    <s v="North America"/>
    <d v="2023-04-08T00:00:00"/>
    <x v="1"/>
    <s v="NULL"/>
    <x v="1"/>
    <n v="8"/>
    <n v="10"/>
    <n v="53"/>
    <s v="No"/>
    <n v="0"/>
    <n v="0"/>
    <n v="0"/>
    <n v="0"/>
    <n v="0"/>
    <x v="2"/>
  </r>
  <r>
    <s v="CUST-0303"/>
    <x v="2"/>
    <x v="1"/>
    <s v="Consulting"/>
    <x v="2"/>
    <n v="22"/>
    <n v="702"/>
    <x v="5"/>
    <s v="Latin America"/>
    <d v="2022-01-24T00:00:00"/>
    <x v="0"/>
    <s v="2023-12-12"/>
    <x v="2"/>
    <n v="1"/>
    <n v="5"/>
    <n v="10"/>
    <s v="No"/>
    <n v="1"/>
    <n v="1"/>
    <n v="1"/>
    <n v="0"/>
    <n v="2"/>
    <x v="0"/>
  </r>
  <r>
    <s v="CUST-0304"/>
    <x v="0"/>
    <x v="1"/>
    <s v="Media"/>
    <x v="2"/>
    <n v="29"/>
    <n v="349"/>
    <x v="3"/>
    <s v="North America"/>
    <d v="2022-12-03T00:00:00"/>
    <x v="0"/>
    <s v="2023-02-19"/>
    <x v="6"/>
    <n v="14"/>
    <n v="3"/>
    <n v="32"/>
    <s v="No"/>
    <n v="1"/>
    <n v="1"/>
    <n v="1"/>
    <n v="1"/>
    <n v="3"/>
    <x v="0"/>
  </r>
  <r>
    <s v="CUST-0305"/>
    <x v="2"/>
    <x v="0"/>
    <s v="Manufacturing"/>
    <x v="4"/>
    <n v="99"/>
    <n v="3124"/>
    <x v="2"/>
    <s v="North America"/>
    <d v="2025-02-24T00:00:00"/>
    <x v="1"/>
    <s v="NULL"/>
    <x v="1"/>
    <n v="8"/>
    <n v="7"/>
    <n v="17"/>
    <s v="No"/>
    <n v="0"/>
    <n v="1"/>
    <n v="0"/>
    <n v="0"/>
    <n v="1"/>
    <x v="1"/>
  </r>
  <r>
    <s v="CUST-0306"/>
    <x v="2"/>
    <x v="0"/>
    <s v="Legal"/>
    <x v="2"/>
    <n v="26"/>
    <n v="945"/>
    <x v="0"/>
    <s v="Europe"/>
    <d v="2024-12-15T00:00:00"/>
    <x v="1"/>
    <s v="NULL"/>
    <x v="1"/>
    <n v="4"/>
    <n v="6"/>
    <n v="41"/>
    <s v="No"/>
    <n v="0"/>
    <n v="1"/>
    <n v="1"/>
    <n v="0"/>
    <n v="2"/>
    <x v="0"/>
  </r>
  <r>
    <s v="CUST-0307"/>
    <x v="3"/>
    <x v="1"/>
    <s v="Manufacturing"/>
    <x v="0"/>
    <n v="50"/>
    <n v="3542"/>
    <x v="0"/>
    <s v="North America"/>
    <d v="2025-02-09T00:00:00"/>
    <x v="1"/>
    <s v="NULL"/>
    <x v="1"/>
    <n v="9"/>
    <n v="9"/>
    <n v="36"/>
    <s v="No"/>
    <n v="0"/>
    <n v="1"/>
    <n v="0"/>
    <n v="0"/>
    <n v="1"/>
    <x v="1"/>
  </r>
  <r>
    <s v="CUST-0308"/>
    <x v="2"/>
    <x v="1"/>
    <s v="Consulting"/>
    <x v="2"/>
    <n v="21"/>
    <n v="677"/>
    <x v="4"/>
    <s v="North America"/>
    <d v="2025-09-20T00:00:00"/>
    <x v="1"/>
    <s v="NULL"/>
    <x v="1"/>
    <n v="0"/>
    <n v="8"/>
    <n v="91"/>
    <s v="No"/>
    <n v="0"/>
    <n v="0"/>
    <n v="0"/>
    <n v="0"/>
    <n v="0"/>
    <x v="2"/>
  </r>
  <r>
    <s v="CUST-0309"/>
    <x v="1"/>
    <x v="1"/>
    <s v="Manufacturing"/>
    <x v="3"/>
    <n v="7"/>
    <n v="47"/>
    <x v="4"/>
    <s v="North America"/>
    <d v="2023-09-03T00:00:00"/>
    <x v="0"/>
    <s v="2024-01-09"/>
    <x v="2"/>
    <n v="5"/>
    <n v="2"/>
    <n v="41"/>
    <s v="No"/>
    <n v="1"/>
    <n v="1"/>
    <n v="1"/>
    <n v="0"/>
    <n v="2"/>
    <x v="0"/>
  </r>
  <r>
    <s v="CUST-0310"/>
    <x v="1"/>
    <x v="0"/>
    <s v="Legal"/>
    <x v="4"/>
    <n v="71"/>
    <n v="334"/>
    <x v="1"/>
    <s v="Europe"/>
    <d v="2023-07-08T00:00:00"/>
    <x v="0"/>
    <s v="2024-02-11"/>
    <x v="6"/>
    <n v="1"/>
    <n v="3"/>
    <n v="14"/>
    <s v="No"/>
    <n v="1"/>
    <n v="1"/>
    <n v="1"/>
    <n v="0"/>
    <n v="2"/>
    <x v="0"/>
  </r>
  <r>
    <s v="CUST-0311"/>
    <x v="0"/>
    <x v="1"/>
    <s v="Finance"/>
    <x v="1"/>
    <n v="290"/>
    <n v="2978"/>
    <x v="3"/>
    <s v="North America"/>
    <d v="2024-02-15T00:00:00"/>
    <x v="1"/>
    <s v="NULL"/>
    <x v="1"/>
    <n v="9"/>
    <n v="9"/>
    <n v="39"/>
    <s v="No"/>
    <n v="0"/>
    <n v="1"/>
    <n v="0"/>
    <n v="0"/>
    <n v="1"/>
    <x v="1"/>
  </r>
  <r>
    <s v="CUST-0312"/>
    <x v="1"/>
    <x v="1"/>
    <s v="Real Estate"/>
    <x v="4"/>
    <n v="36"/>
    <n v="154"/>
    <x v="2"/>
    <s v="Asia Pacific"/>
    <d v="2024-03-06T00:00:00"/>
    <x v="0"/>
    <s v="2024-09-01"/>
    <x v="3"/>
    <n v="4"/>
    <n v="5"/>
    <n v="42"/>
    <s v="No"/>
    <n v="1"/>
    <n v="1"/>
    <n v="1"/>
    <n v="0"/>
    <n v="2"/>
    <x v="0"/>
  </r>
  <r>
    <s v="CUST-0313"/>
    <x v="1"/>
    <x v="0"/>
    <s v="Education"/>
    <x v="0"/>
    <n v="74"/>
    <n v="347"/>
    <x v="0"/>
    <s v="Europe"/>
    <d v="2025-01-22T00:00:00"/>
    <x v="1"/>
    <s v="NULL"/>
    <x v="1"/>
    <n v="3"/>
    <n v="4"/>
    <n v="18"/>
    <s v="No"/>
    <n v="0"/>
    <n v="1"/>
    <n v="1"/>
    <n v="0"/>
    <n v="2"/>
    <x v="0"/>
  </r>
  <r>
    <s v="CUST-0314"/>
    <x v="1"/>
    <x v="1"/>
    <s v="Media"/>
    <x v="3"/>
    <n v="8"/>
    <n v="51"/>
    <x v="3"/>
    <s v="Latin America"/>
    <d v="2024-10-07T00:00:00"/>
    <x v="1"/>
    <s v="NULL"/>
    <x v="1"/>
    <n v="3"/>
    <n v="2"/>
    <n v="22"/>
    <s v="No"/>
    <n v="0"/>
    <n v="1"/>
    <n v="1"/>
    <n v="0"/>
    <n v="2"/>
    <x v="0"/>
  </r>
  <r>
    <s v="CUST-0315"/>
    <x v="1"/>
    <x v="0"/>
    <s v="Education"/>
    <x v="2"/>
    <n v="13"/>
    <n v="81"/>
    <x v="4"/>
    <s v="Europe"/>
    <d v="2025-03-23T00:00:00"/>
    <x v="0"/>
    <s v="2025-09-20"/>
    <x v="5"/>
    <n v="12"/>
    <n v="3"/>
    <n v="29"/>
    <s v="No"/>
    <n v="1"/>
    <n v="1"/>
    <n v="1"/>
    <n v="1"/>
    <n v="3"/>
    <x v="0"/>
  </r>
  <r>
    <s v="CUST-0316"/>
    <x v="0"/>
    <x v="1"/>
    <s v="Finance"/>
    <x v="2"/>
    <n v="33"/>
    <n v="389"/>
    <x v="2"/>
    <s v="Latin America"/>
    <d v="2022-10-01T00:00:00"/>
    <x v="0"/>
    <s v="2025-09-06"/>
    <x v="2"/>
    <n v="11"/>
    <n v="6"/>
    <n v="37"/>
    <s v="No"/>
    <n v="1"/>
    <n v="1"/>
    <n v="1"/>
    <n v="1"/>
    <n v="3"/>
    <x v="0"/>
  </r>
  <r>
    <s v="CUST-0317"/>
    <x v="1"/>
    <x v="0"/>
    <s v="Finance"/>
    <x v="2"/>
    <n v="31"/>
    <n v="160"/>
    <x v="2"/>
    <s v="North America"/>
    <d v="2024-12-09T00:00:00"/>
    <x v="0"/>
    <s v="2025-04-11"/>
    <x v="0"/>
    <n v="6"/>
    <n v="3"/>
    <n v="26"/>
    <s v="No"/>
    <n v="1"/>
    <n v="1"/>
    <n v="1"/>
    <n v="0"/>
    <n v="2"/>
    <x v="0"/>
  </r>
  <r>
    <s v="CUST-0318"/>
    <x v="1"/>
    <x v="0"/>
    <s v="Retail"/>
    <x v="3"/>
    <n v="1"/>
    <n v="29"/>
    <x v="5"/>
    <s v="Latin America"/>
    <d v="2025-02-06T00:00:00"/>
    <x v="0"/>
    <s v="2025-10-26"/>
    <x v="5"/>
    <n v="12"/>
    <n v="3"/>
    <n v="30"/>
    <s v="No"/>
    <n v="1"/>
    <n v="1"/>
    <n v="1"/>
    <n v="1"/>
    <n v="3"/>
    <x v="0"/>
  </r>
  <r>
    <s v="CUST-0319"/>
    <x v="1"/>
    <x v="1"/>
    <s v="Legal"/>
    <x v="0"/>
    <n v="40"/>
    <n v="169"/>
    <x v="0"/>
    <s v="Europe"/>
    <d v="2022-07-16T00:00:00"/>
    <x v="0"/>
    <s v="2022-10-13"/>
    <x v="3"/>
    <n v="14"/>
    <n v="4"/>
    <n v="38"/>
    <s v="No"/>
    <n v="1"/>
    <n v="1"/>
    <n v="1"/>
    <n v="1"/>
    <n v="3"/>
    <x v="0"/>
  </r>
  <r>
    <s v="CUST-0320"/>
    <x v="0"/>
    <x v="1"/>
    <s v="Legal"/>
    <x v="0"/>
    <n v="20"/>
    <n v="259"/>
    <x v="0"/>
    <s v="Europe"/>
    <d v="2023-12-19T00:00:00"/>
    <x v="1"/>
    <s v="NULL"/>
    <x v="1"/>
    <n v="10"/>
    <n v="9"/>
    <n v="34"/>
    <s v="No"/>
    <n v="0"/>
    <n v="1"/>
    <n v="0"/>
    <n v="0"/>
    <n v="1"/>
    <x v="1"/>
  </r>
  <r>
    <s v="CUST-0321"/>
    <x v="0"/>
    <x v="0"/>
    <s v="Education"/>
    <x v="3"/>
    <n v="2"/>
    <n v="91"/>
    <x v="0"/>
    <s v="North America"/>
    <d v="2025-03-11T00:00:00"/>
    <x v="0"/>
    <s v="2025-04-30"/>
    <x v="5"/>
    <n v="8"/>
    <n v="3"/>
    <n v="15"/>
    <s v="No"/>
    <n v="1"/>
    <n v="1"/>
    <n v="1"/>
    <n v="0"/>
    <n v="2"/>
    <x v="0"/>
  </r>
  <r>
    <s v="CUST-0322"/>
    <x v="0"/>
    <x v="1"/>
    <s v="Consulting"/>
    <x v="0"/>
    <n v="34"/>
    <n v="400"/>
    <x v="5"/>
    <s v="North America"/>
    <d v="2024-10-14T00:00:00"/>
    <x v="0"/>
    <s v="2024-12-11"/>
    <x v="7"/>
    <n v="11"/>
    <n v="6"/>
    <n v="12"/>
    <s v="No"/>
    <n v="1"/>
    <n v="1"/>
    <n v="1"/>
    <n v="1"/>
    <n v="3"/>
    <x v="0"/>
  </r>
  <r>
    <s v="CUST-0323"/>
    <x v="2"/>
    <x v="0"/>
    <s v="Media"/>
    <x v="3"/>
    <n v="7"/>
    <n v="378"/>
    <x v="2"/>
    <s v="Asia Pacific"/>
    <d v="2023-10-18T00:00:00"/>
    <x v="1"/>
    <s v="NULL"/>
    <x v="1"/>
    <n v="5"/>
    <n v="9"/>
    <n v="55"/>
    <s v="No"/>
    <n v="0"/>
    <n v="0"/>
    <n v="0"/>
    <n v="0"/>
    <n v="0"/>
    <x v="2"/>
  </r>
  <r>
    <s v="CUST-0324"/>
    <x v="1"/>
    <x v="1"/>
    <s v="Consulting"/>
    <x v="0"/>
    <n v="24"/>
    <n v="110"/>
    <x v="0"/>
    <s v="North America"/>
    <d v="2025-11-12T00:00:00"/>
    <x v="1"/>
    <s v="NULL"/>
    <x v="1"/>
    <n v="7"/>
    <n v="2"/>
    <n v="90"/>
    <s v="No"/>
    <n v="0"/>
    <n v="0"/>
    <n v="1"/>
    <n v="0"/>
    <n v="1"/>
    <x v="1"/>
  </r>
  <r>
    <s v="CUST-0325"/>
    <x v="0"/>
    <x v="1"/>
    <s v="Technology"/>
    <x v="4"/>
    <n v="105"/>
    <n v="1115"/>
    <x v="4"/>
    <s v="Europe"/>
    <d v="2022-03-28T00:00:00"/>
    <x v="0"/>
    <s v="2023-09-25"/>
    <x v="4"/>
    <n v="2"/>
    <n v="1"/>
    <n v="15"/>
    <s v="No"/>
    <n v="1"/>
    <n v="1"/>
    <n v="1"/>
    <n v="0"/>
    <n v="2"/>
    <x v="0"/>
  </r>
  <r>
    <s v="CUST-0326"/>
    <x v="2"/>
    <x v="1"/>
    <s v="Education"/>
    <x v="2"/>
    <n v="10"/>
    <n v="398"/>
    <x v="2"/>
    <s v="North America"/>
    <d v="2025-01-19T00:00:00"/>
    <x v="1"/>
    <s v="NULL"/>
    <x v="1"/>
    <n v="6"/>
    <n v="9"/>
    <n v="77"/>
    <s v="Yes"/>
    <n v="0"/>
    <n v="0"/>
    <n v="0"/>
    <n v="0"/>
    <n v="0"/>
    <x v="2"/>
  </r>
  <r>
    <s v="CUST-0327"/>
    <x v="0"/>
    <x v="0"/>
    <s v="Consulting"/>
    <x v="2"/>
    <n v="15"/>
    <n v="245"/>
    <x v="2"/>
    <s v="Asia Pacific"/>
    <d v="2022-05-04T00:00:00"/>
    <x v="0"/>
    <s v="2022-06-25"/>
    <x v="5"/>
    <n v="14"/>
    <n v="1"/>
    <n v="15"/>
    <s v="No"/>
    <n v="1"/>
    <n v="1"/>
    <n v="1"/>
    <n v="1"/>
    <n v="3"/>
    <x v="0"/>
  </r>
  <r>
    <s v="CUST-0328"/>
    <x v="0"/>
    <x v="0"/>
    <s v="Technology"/>
    <x v="2"/>
    <n v="13"/>
    <n v="221"/>
    <x v="4"/>
    <s v="Europe"/>
    <d v="2024-08-30T00:00:00"/>
    <x v="1"/>
    <s v="NULL"/>
    <x v="1"/>
    <n v="2"/>
    <n v="4"/>
    <n v="71"/>
    <s v="No"/>
    <n v="0"/>
    <n v="0"/>
    <n v="1"/>
    <n v="0"/>
    <n v="1"/>
    <x v="1"/>
  </r>
  <r>
    <s v="CUST-0329"/>
    <x v="1"/>
    <x v="0"/>
    <s v="Legal"/>
    <x v="1"/>
    <n v="297"/>
    <n v="1317"/>
    <x v="2"/>
    <s v="Latin America"/>
    <d v="2025-12-11T00:00:00"/>
    <x v="1"/>
    <s v="NULL"/>
    <x v="1"/>
    <n v="7"/>
    <n v="4"/>
    <n v="44"/>
    <s v="No"/>
    <n v="0"/>
    <n v="1"/>
    <n v="1"/>
    <n v="0"/>
    <n v="2"/>
    <x v="0"/>
  </r>
  <r>
    <s v="CUST-0330"/>
    <x v="0"/>
    <x v="0"/>
    <s v="Retail"/>
    <x v="0"/>
    <n v="51"/>
    <n v="672"/>
    <x v="1"/>
    <s v="Asia Pacific"/>
    <d v="2024-03-17T00:00:00"/>
    <x v="1"/>
    <s v="NULL"/>
    <x v="1"/>
    <n v="7"/>
    <n v="4"/>
    <n v="84"/>
    <s v="No"/>
    <n v="0"/>
    <n v="0"/>
    <n v="1"/>
    <n v="0"/>
    <n v="1"/>
    <x v="1"/>
  </r>
  <r>
    <s v="CUST-0331"/>
    <x v="0"/>
    <x v="0"/>
    <s v="Education"/>
    <x v="0"/>
    <n v="30"/>
    <n v="423"/>
    <x v="5"/>
    <s v="North America"/>
    <d v="2025-06-13T00:00:00"/>
    <x v="1"/>
    <s v="NULL"/>
    <x v="1"/>
    <n v="11"/>
    <n v="5"/>
    <n v="60"/>
    <s v="No"/>
    <n v="0"/>
    <n v="0"/>
    <n v="1"/>
    <n v="1"/>
    <n v="2"/>
    <x v="0"/>
  </r>
  <r>
    <s v="CUST-0332"/>
    <x v="0"/>
    <x v="0"/>
    <s v="Finance"/>
    <x v="0"/>
    <n v="77"/>
    <n v="980"/>
    <x v="4"/>
    <s v="North America"/>
    <d v="2025-03-08T00:00:00"/>
    <x v="0"/>
    <s v="2025-06-10"/>
    <x v="4"/>
    <n v="3"/>
    <n v="2"/>
    <n v="40"/>
    <s v="No"/>
    <n v="1"/>
    <n v="1"/>
    <n v="1"/>
    <n v="0"/>
    <n v="2"/>
    <x v="0"/>
  </r>
  <r>
    <s v="CUST-0333"/>
    <x v="0"/>
    <x v="1"/>
    <s v="Education"/>
    <x v="0"/>
    <n v="18"/>
    <n v="238"/>
    <x v="2"/>
    <s v="Asia Pacific"/>
    <d v="2024-04-05T00:00:00"/>
    <x v="0"/>
    <s v="2025-10-06"/>
    <x v="7"/>
    <n v="14"/>
    <n v="1"/>
    <n v="33"/>
    <s v="No"/>
    <n v="1"/>
    <n v="1"/>
    <n v="1"/>
    <n v="1"/>
    <n v="3"/>
    <x v="0"/>
  </r>
  <r>
    <s v="CUST-0334"/>
    <x v="1"/>
    <x v="1"/>
    <s v="Finance"/>
    <x v="4"/>
    <n v="85"/>
    <n v="335"/>
    <x v="0"/>
    <s v="Europe"/>
    <d v="2023-10-13T00:00:00"/>
    <x v="0"/>
    <s v="2024-01-22"/>
    <x v="4"/>
    <n v="8"/>
    <n v="1"/>
    <n v="35"/>
    <s v="No"/>
    <n v="1"/>
    <n v="1"/>
    <n v="1"/>
    <n v="0"/>
    <n v="2"/>
    <x v="0"/>
  </r>
  <r>
    <s v="CUST-0335"/>
    <x v="0"/>
    <x v="0"/>
    <s v="Consulting"/>
    <x v="2"/>
    <n v="18"/>
    <n v="280"/>
    <x v="5"/>
    <s v="North America"/>
    <d v="2022-09-07T00:00:00"/>
    <x v="0"/>
    <s v="2024-03-13"/>
    <x v="6"/>
    <n v="10"/>
    <n v="1"/>
    <n v="27"/>
    <s v="No"/>
    <n v="1"/>
    <n v="1"/>
    <n v="1"/>
    <n v="0"/>
    <n v="2"/>
    <x v="0"/>
  </r>
  <r>
    <s v="CUST-0336"/>
    <x v="2"/>
    <x v="1"/>
    <s v="Education"/>
    <x v="3"/>
    <n v="5"/>
    <n v="271"/>
    <x v="0"/>
    <s v="Europe"/>
    <d v="2023-07-14T00:00:00"/>
    <x v="0"/>
    <s v="2025-02-15"/>
    <x v="5"/>
    <n v="7"/>
    <n v="1"/>
    <n v="36"/>
    <s v="No"/>
    <n v="1"/>
    <n v="1"/>
    <n v="1"/>
    <n v="0"/>
    <n v="2"/>
    <x v="0"/>
  </r>
  <r>
    <s v="CUST-0337"/>
    <x v="1"/>
    <x v="0"/>
    <s v="Media"/>
    <x v="0"/>
    <n v="65"/>
    <n v="307"/>
    <x v="4"/>
    <s v="Latin America"/>
    <d v="2022-11-22T00:00:00"/>
    <x v="0"/>
    <s v="2023-03-19"/>
    <x v="0"/>
    <n v="3"/>
    <n v="1"/>
    <n v="45"/>
    <s v="No"/>
    <n v="1"/>
    <n v="1"/>
    <n v="1"/>
    <n v="0"/>
    <n v="2"/>
    <x v="0"/>
  </r>
  <r>
    <s v="CUST-0338"/>
    <x v="1"/>
    <x v="1"/>
    <s v="Technology"/>
    <x v="2"/>
    <n v="26"/>
    <n v="117"/>
    <x v="2"/>
    <s v="North America"/>
    <d v="2024-01-29T00:00:00"/>
    <x v="1"/>
    <s v="NULL"/>
    <x v="1"/>
    <n v="4"/>
    <n v="8"/>
    <n v="42"/>
    <s v="Yes"/>
    <n v="0"/>
    <n v="1"/>
    <n v="0"/>
    <n v="0"/>
    <n v="1"/>
    <x v="1"/>
  </r>
  <r>
    <s v="CUST-0339"/>
    <x v="1"/>
    <x v="0"/>
    <s v="Media"/>
    <x v="3"/>
    <n v="4"/>
    <n v="42"/>
    <x v="0"/>
    <s v="North America"/>
    <d v="2024-05-28T00:00:00"/>
    <x v="0"/>
    <s v="2025-01-20"/>
    <x v="0"/>
    <n v="0"/>
    <n v="4"/>
    <n v="13"/>
    <s v="No"/>
    <n v="1"/>
    <n v="1"/>
    <n v="1"/>
    <n v="0"/>
    <n v="2"/>
    <x v="0"/>
  </r>
  <r>
    <s v="CUST-0340"/>
    <x v="1"/>
    <x v="1"/>
    <s v="Education"/>
    <x v="4"/>
    <n v="140"/>
    <n v="539"/>
    <x v="0"/>
    <s v="Europe"/>
    <d v="2022-06-30T00:00:00"/>
    <x v="0"/>
    <s v="2022-10-01"/>
    <x v="4"/>
    <n v="14"/>
    <n v="2"/>
    <n v="43"/>
    <s v="No"/>
    <n v="1"/>
    <n v="1"/>
    <n v="1"/>
    <n v="1"/>
    <n v="3"/>
    <x v="0"/>
  </r>
  <r>
    <s v="CUST-0341"/>
    <x v="1"/>
    <x v="0"/>
    <s v="Real Estate"/>
    <x v="4"/>
    <n v="41"/>
    <n v="203"/>
    <x v="4"/>
    <s v="North America"/>
    <d v="2025-03-19T00:00:00"/>
    <x v="0"/>
    <s v="2025-06-24"/>
    <x v="6"/>
    <n v="12"/>
    <n v="1"/>
    <n v="40"/>
    <s v="No"/>
    <n v="1"/>
    <n v="1"/>
    <n v="1"/>
    <n v="1"/>
    <n v="3"/>
    <x v="0"/>
  </r>
  <r>
    <s v="CUST-0342"/>
    <x v="1"/>
    <x v="1"/>
    <s v="Retail"/>
    <x v="4"/>
    <n v="78"/>
    <n v="309"/>
    <x v="4"/>
    <s v="Europe"/>
    <d v="2024-08-15T00:00:00"/>
    <x v="0"/>
    <s v="2025-08-15"/>
    <x v="3"/>
    <n v="3"/>
    <n v="1"/>
    <n v="35"/>
    <s v="No"/>
    <n v="1"/>
    <n v="1"/>
    <n v="1"/>
    <n v="0"/>
    <n v="2"/>
    <x v="0"/>
  </r>
  <r>
    <s v="CUST-0343"/>
    <x v="2"/>
    <x v="1"/>
    <s v="Legal"/>
    <x v="2"/>
    <n v="12"/>
    <n v="448"/>
    <x v="3"/>
    <s v="Latin America"/>
    <d v="2023-05-23T00:00:00"/>
    <x v="0"/>
    <s v="2025-04-18"/>
    <x v="6"/>
    <n v="12"/>
    <n v="6"/>
    <n v="19"/>
    <s v="No"/>
    <n v="1"/>
    <n v="1"/>
    <n v="1"/>
    <n v="1"/>
    <n v="3"/>
    <x v="0"/>
  </r>
  <r>
    <s v="CUST-0344"/>
    <x v="0"/>
    <x v="0"/>
    <s v="Retail"/>
    <x v="2"/>
    <n v="32"/>
    <n v="446"/>
    <x v="3"/>
    <s v="Asia Pacific"/>
    <d v="2022-05-22T00:00:00"/>
    <x v="0"/>
    <s v="2023-06-15"/>
    <x v="5"/>
    <n v="3"/>
    <n v="3"/>
    <n v="29"/>
    <s v="No"/>
    <n v="1"/>
    <n v="1"/>
    <n v="1"/>
    <n v="0"/>
    <n v="2"/>
    <x v="0"/>
  </r>
  <r>
    <s v="CUST-0345"/>
    <x v="2"/>
    <x v="1"/>
    <s v="Education"/>
    <x v="3"/>
    <n v="4"/>
    <n v="245"/>
    <x v="4"/>
    <s v="Europe"/>
    <d v="2022-09-26T00:00:00"/>
    <x v="1"/>
    <s v="NULL"/>
    <x v="1"/>
    <n v="4"/>
    <n v="2"/>
    <n v="93"/>
    <s v="No"/>
    <n v="0"/>
    <n v="0"/>
    <n v="1"/>
    <n v="0"/>
    <n v="1"/>
    <x v="1"/>
  </r>
  <r>
    <s v="CUST-0346"/>
    <x v="2"/>
    <x v="0"/>
    <s v="Education"/>
    <x v="4"/>
    <n v="126"/>
    <n v="3930"/>
    <x v="4"/>
    <s v="North America"/>
    <d v="2025-11-18T00:00:00"/>
    <x v="1"/>
    <s v="NULL"/>
    <x v="1"/>
    <n v="9"/>
    <n v="8"/>
    <n v="20"/>
    <s v="No"/>
    <n v="0"/>
    <n v="1"/>
    <n v="0"/>
    <n v="0"/>
    <n v="1"/>
    <x v="1"/>
  </r>
  <r>
    <s v="CUST-0347"/>
    <x v="0"/>
    <x v="1"/>
    <s v="Media"/>
    <x v="0"/>
    <n v="17"/>
    <n v="228"/>
    <x v="0"/>
    <s v="Europe"/>
    <d v="2025-09-25T00:00:00"/>
    <x v="1"/>
    <s v="NULL"/>
    <x v="1"/>
    <n v="5"/>
    <n v="4"/>
    <n v="21"/>
    <s v="No"/>
    <n v="0"/>
    <n v="1"/>
    <n v="1"/>
    <n v="0"/>
    <n v="2"/>
    <x v="0"/>
  </r>
  <r>
    <s v="CUST-0348"/>
    <x v="2"/>
    <x v="0"/>
    <s v="Technology"/>
    <x v="0"/>
    <n v="73"/>
    <n v="2348"/>
    <x v="0"/>
    <s v="Asia Pacific"/>
    <d v="2025-06-05T00:00:00"/>
    <x v="1"/>
    <s v="NULL"/>
    <x v="1"/>
    <n v="9"/>
    <n v="5"/>
    <n v="74"/>
    <s v="No"/>
    <n v="0"/>
    <n v="0"/>
    <n v="1"/>
    <n v="0"/>
    <n v="1"/>
    <x v="1"/>
  </r>
  <r>
    <s v="CUST-0349"/>
    <x v="2"/>
    <x v="1"/>
    <s v="Legal"/>
    <x v="2"/>
    <n v="29"/>
    <n v="880"/>
    <x v="4"/>
    <s v="North America"/>
    <d v="2024-06-14T00:00:00"/>
    <x v="1"/>
    <s v="NULL"/>
    <x v="1"/>
    <n v="7"/>
    <n v="10"/>
    <n v="33"/>
    <s v="No"/>
    <n v="0"/>
    <n v="1"/>
    <n v="0"/>
    <n v="0"/>
    <n v="1"/>
    <x v="1"/>
  </r>
  <r>
    <s v="CUST-0350"/>
    <x v="0"/>
    <x v="0"/>
    <s v="Media"/>
    <x v="0"/>
    <n v="59"/>
    <n v="766"/>
    <x v="5"/>
    <s v="North America"/>
    <d v="2022-02-27T00:00:00"/>
    <x v="0"/>
    <s v="2022-10-03"/>
    <x v="3"/>
    <n v="6"/>
    <n v="2"/>
    <n v="21"/>
    <s v="No"/>
    <n v="1"/>
    <n v="1"/>
    <n v="1"/>
    <n v="0"/>
    <n v="2"/>
    <x v="0"/>
  </r>
  <r>
    <s v="CUST-0351"/>
    <x v="1"/>
    <x v="1"/>
    <s v="Retail"/>
    <x v="3"/>
    <n v="4"/>
    <n v="36"/>
    <x v="4"/>
    <s v="North America"/>
    <d v="2024-07-21T00:00:00"/>
    <x v="0"/>
    <s v="2024-12-03"/>
    <x v="7"/>
    <n v="8"/>
    <n v="6"/>
    <n v="47"/>
    <s v="No"/>
    <n v="1"/>
    <n v="1"/>
    <n v="1"/>
    <n v="0"/>
    <n v="2"/>
    <x v="0"/>
  </r>
  <r>
    <s v="CUST-0352"/>
    <x v="1"/>
    <x v="0"/>
    <s v="Education"/>
    <x v="1"/>
    <n v="130"/>
    <n v="590"/>
    <x v="2"/>
    <s v="Europe"/>
    <d v="2023-07-18T00:00:00"/>
    <x v="0"/>
    <s v="2024-05-11"/>
    <x v="4"/>
    <n v="5"/>
    <n v="4"/>
    <n v="23"/>
    <s v="No"/>
    <n v="1"/>
    <n v="1"/>
    <n v="1"/>
    <n v="0"/>
    <n v="2"/>
    <x v="0"/>
  </r>
  <r>
    <s v="CUST-0353"/>
    <x v="2"/>
    <x v="1"/>
    <s v="Healthcare"/>
    <x v="4"/>
    <n v="61"/>
    <n v="1692"/>
    <x v="5"/>
    <s v="Europe"/>
    <d v="2025-04-02T00:00:00"/>
    <x v="0"/>
    <s v="2025-05-16"/>
    <x v="7"/>
    <n v="15"/>
    <n v="5"/>
    <n v="33"/>
    <s v="No"/>
    <n v="1"/>
    <n v="1"/>
    <n v="1"/>
    <n v="1"/>
    <n v="3"/>
    <x v="0"/>
  </r>
  <r>
    <s v="CUST-0354"/>
    <x v="2"/>
    <x v="1"/>
    <s v="Finance"/>
    <x v="3"/>
    <n v="8"/>
    <n v="347"/>
    <x v="2"/>
    <s v="North America"/>
    <d v="2022-06-25T00:00:00"/>
    <x v="0"/>
    <s v="2024-12-29"/>
    <x v="2"/>
    <n v="10"/>
    <n v="6"/>
    <n v="30"/>
    <s v="No"/>
    <n v="1"/>
    <n v="1"/>
    <n v="1"/>
    <n v="0"/>
    <n v="2"/>
    <x v="0"/>
  </r>
  <r>
    <s v="CUST-0355"/>
    <x v="1"/>
    <x v="1"/>
    <s v="Healthcare"/>
    <x v="0"/>
    <n v="43"/>
    <n v="180"/>
    <x v="0"/>
    <s v="North America"/>
    <d v="2024-10-27T00:00:00"/>
    <x v="1"/>
    <s v="NULL"/>
    <x v="1"/>
    <n v="3"/>
    <n v="3"/>
    <n v="63"/>
    <s v="No"/>
    <n v="0"/>
    <n v="0"/>
    <n v="1"/>
    <n v="0"/>
    <n v="1"/>
    <x v="1"/>
  </r>
  <r>
    <s v="CUST-0356"/>
    <x v="1"/>
    <x v="1"/>
    <s v="Media"/>
    <x v="2"/>
    <n v="6"/>
    <n v="43"/>
    <x v="0"/>
    <s v="North America"/>
    <d v="2022-09-13T00:00:00"/>
    <x v="0"/>
    <s v="2022-11-05"/>
    <x v="2"/>
    <n v="15"/>
    <n v="3"/>
    <n v="46"/>
    <s v="No"/>
    <n v="1"/>
    <n v="1"/>
    <n v="1"/>
    <n v="1"/>
    <n v="3"/>
    <x v="0"/>
  </r>
  <r>
    <s v="CUST-0357"/>
    <x v="1"/>
    <x v="1"/>
    <s v="Healthcare"/>
    <x v="4"/>
    <n v="92"/>
    <n v="361"/>
    <x v="0"/>
    <s v="North America"/>
    <d v="2023-01-23T00:00:00"/>
    <x v="0"/>
    <s v="2023-06-03"/>
    <x v="7"/>
    <n v="13"/>
    <n v="1"/>
    <n v="38"/>
    <s v="No"/>
    <n v="1"/>
    <n v="1"/>
    <n v="1"/>
    <n v="1"/>
    <n v="3"/>
    <x v="0"/>
  </r>
  <r>
    <s v="CUST-0358"/>
    <x v="1"/>
    <x v="1"/>
    <s v="Consulting"/>
    <x v="0"/>
    <n v="30"/>
    <n v="132"/>
    <x v="3"/>
    <s v="Europe"/>
    <d v="2025-02-24T00:00:00"/>
    <x v="1"/>
    <s v="NULL"/>
    <x v="1"/>
    <n v="1"/>
    <n v="7"/>
    <n v="39"/>
    <s v="No"/>
    <n v="0"/>
    <n v="1"/>
    <n v="0"/>
    <n v="0"/>
    <n v="1"/>
    <x v="1"/>
  </r>
  <r>
    <s v="CUST-0359"/>
    <x v="2"/>
    <x v="0"/>
    <s v="Healthcare"/>
    <x v="4"/>
    <n v="118"/>
    <n v="3691"/>
    <x v="1"/>
    <s v="Asia Pacific"/>
    <d v="2025-07-03T00:00:00"/>
    <x v="1"/>
    <s v="NULL"/>
    <x v="1"/>
    <n v="10"/>
    <n v="5"/>
    <n v="87"/>
    <s v="No"/>
    <n v="0"/>
    <n v="0"/>
    <n v="1"/>
    <n v="0"/>
    <n v="1"/>
    <x v="1"/>
  </r>
  <r>
    <s v="CUST-0360"/>
    <x v="1"/>
    <x v="1"/>
    <s v="Consulting"/>
    <x v="3"/>
    <n v="2"/>
    <n v="28"/>
    <x v="5"/>
    <s v="Europe"/>
    <d v="2022-08-07T00:00:00"/>
    <x v="1"/>
    <s v="NULL"/>
    <x v="1"/>
    <n v="11"/>
    <n v="6"/>
    <n v="20"/>
    <s v="No"/>
    <n v="0"/>
    <n v="1"/>
    <n v="1"/>
    <n v="1"/>
    <n v="3"/>
    <x v="0"/>
  </r>
  <r>
    <s v="CUST-0361"/>
    <x v="0"/>
    <x v="1"/>
    <s v="Retail"/>
    <x v="3"/>
    <n v="7"/>
    <n v="128"/>
    <x v="4"/>
    <s v="Europe"/>
    <d v="2024-06-08T00:00:00"/>
    <x v="1"/>
    <s v="NULL"/>
    <x v="1"/>
    <n v="12"/>
    <n v="7"/>
    <n v="31"/>
    <s v="No"/>
    <n v="0"/>
    <n v="1"/>
    <n v="0"/>
    <n v="1"/>
    <n v="2"/>
    <x v="0"/>
  </r>
  <r>
    <s v="CUST-0362"/>
    <x v="3"/>
    <x v="0"/>
    <s v="Healthcare"/>
    <x v="0"/>
    <n v="59"/>
    <n v="4840"/>
    <x v="0"/>
    <s v="North America"/>
    <d v="2023-09-21T00:00:00"/>
    <x v="1"/>
    <s v="NULL"/>
    <x v="1"/>
    <n v="0"/>
    <n v="3"/>
    <n v="90"/>
    <s v="No"/>
    <n v="0"/>
    <n v="0"/>
    <n v="1"/>
    <n v="0"/>
    <n v="1"/>
    <x v="1"/>
  </r>
  <r>
    <s v="CUST-0363"/>
    <x v="3"/>
    <x v="0"/>
    <s v="Technology"/>
    <x v="3"/>
    <n v="7"/>
    <n v="948"/>
    <x v="5"/>
    <s v="North America"/>
    <d v="2024-03-06T00:00:00"/>
    <x v="1"/>
    <s v="NULL"/>
    <x v="1"/>
    <n v="2"/>
    <n v="6"/>
    <n v="41"/>
    <s v="No"/>
    <n v="0"/>
    <n v="1"/>
    <n v="1"/>
    <n v="0"/>
    <n v="2"/>
    <x v="0"/>
  </r>
  <r>
    <s v="CUST-0364"/>
    <x v="2"/>
    <x v="0"/>
    <s v="Legal"/>
    <x v="2"/>
    <n v="17"/>
    <n v="677"/>
    <x v="2"/>
    <s v="North America"/>
    <d v="2022-04-05T00:00:00"/>
    <x v="0"/>
    <s v="2025-09-20"/>
    <x v="0"/>
    <n v="7"/>
    <n v="4"/>
    <n v="13"/>
    <s v="No"/>
    <n v="1"/>
    <n v="1"/>
    <n v="1"/>
    <n v="0"/>
    <n v="2"/>
    <x v="0"/>
  </r>
  <r>
    <s v="CUST-0365"/>
    <x v="1"/>
    <x v="0"/>
    <s v="Consulting"/>
    <x v="2"/>
    <n v="14"/>
    <n v="86"/>
    <x v="2"/>
    <s v="Latin America"/>
    <d v="2024-03-11T00:00:00"/>
    <x v="0"/>
    <s v="2024-06-07"/>
    <x v="3"/>
    <n v="9"/>
    <n v="2"/>
    <n v="14"/>
    <s v="No"/>
    <n v="1"/>
    <n v="1"/>
    <n v="1"/>
    <n v="0"/>
    <n v="2"/>
    <x v="0"/>
  </r>
  <r>
    <s v="CUST-0366"/>
    <x v="0"/>
    <x v="0"/>
    <s v="Education"/>
    <x v="0"/>
    <n v="52"/>
    <n v="683"/>
    <x v="4"/>
    <s v="North America"/>
    <d v="2025-09-28T00:00:00"/>
    <x v="1"/>
    <s v="NULL"/>
    <x v="1"/>
    <n v="11"/>
    <n v="8"/>
    <n v="17"/>
    <s v="No"/>
    <n v="0"/>
    <n v="1"/>
    <n v="0"/>
    <n v="1"/>
    <n v="2"/>
    <x v="0"/>
  </r>
  <r>
    <s v="CUST-0367"/>
    <x v="1"/>
    <x v="1"/>
    <s v="Consulting"/>
    <x v="3"/>
    <n v="5"/>
    <n v="39"/>
    <x v="3"/>
    <s v="North America"/>
    <d v="2023-07-29T00:00:00"/>
    <x v="1"/>
    <s v="NULL"/>
    <x v="1"/>
    <n v="1"/>
    <n v="3"/>
    <n v="80"/>
    <s v="No"/>
    <n v="0"/>
    <n v="0"/>
    <n v="1"/>
    <n v="0"/>
    <n v="1"/>
    <x v="1"/>
  </r>
  <r>
    <s v="CUST-0368"/>
    <x v="0"/>
    <x v="1"/>
    <s v="Media"/>
    <x v="2"/>
    <n v="25"/>
    <n v="309"/>
    <x v="2"/>
    <s v="North America"/>
    <d v="2024-05-17T00:00:00"/>
    <x v="1"/>
    <s v="NULL"/>
    <x v="1"/>
    <n v="3"/>
    <n v="6"/>
    <n v="92"/>
    <s v="No"/>
    <n v="0"/>
    <n v="0"/>
    <n v="1"/>
    <n v="0"/>
    <n v="1"/>
    <x v="1"/>
  </r>
  <r>
    <s v="CUST-0369"/>
    <x v="3"/>
    <x v="0"/>
    <s v="Retail"/>
    <x v="2"/>
    <n v="25"/>
    <n v="2295"/>
    <x v="1"/>
    <s v="North America"/>
    <d v="2025-03-09T00:00:00"/>
    <x v="0"/>
    <s v="2025-04-28"/>
    <x v="3"/>
    <n v="9"/>
    <n v="6"/>
    <n v="37"/>
    <s v="No"/>
    <n v="1"/>
    <n v="1"/>
    <n v="1"/>
    <n v="0"/>
    <n v="2"/>
    <x v="0"/>
  </r>
  <r>
    <s v="CUST-0370"/>
    <x v="1"/>
    <x v="0"/>
    <s v="Real Estate"/>
    <x v="4"/>
    <n v="117"/>
    <n v="534"/>
    <x v="0"/>
    <s v="North America"/>
    <d v="2024-07-19T00:00:00"/>
    <x v="0"/>
    <s v="2025-04-28"/>
    <x v="0"/>
    <n v="8"/>
    <n v="6"/>
    <n v="10"/>
    <s v="No"/>
    <n v="1"/>
    <n v="1"/>
    <n v="1"/>
    <n v="0"/>
    <n v="2"/>
    <x v="0"/>
  </r>
  <r>
    <s v="CUST-0371"/>
    <x v="1"/>
    <x v="0"/>
    <s v="Consulting"/>
    <x v="0"/>
    <n v="39"/>
    <n v="194"/>
    <x v="3"/>
    <s v="Latin America"/>
    <d v="2024-03-01T00:00:00"/>
    <x v="0"/>
    <s v="2024-04-17"/>
    <x v="0"/>
    <n v="13"/>
    <n v="1"/>
    <n v="22"/>
    <s v="No"/>
    <n v="1"/>
    <n v="1"/>
    <n v="1"/>
    <n v="1"/>
    <n v="3"/>
    <x v="0"/>
  </r>
  <r>
    <s v="CUST-0372"/>
    <x v="2"/>
    <x v="0"/>
    <s v="Legal"/>
    <x v="2"/>
    <n v="29"/>
    <n v="1035"/>
    <x v="4"/>
    <s v="Asia Pacific"/>
    <d v="2023-02-10T00:00:00"/>
    <x v="0"/>
    <s v="2025-10-14"/>
    <x v="5"/>
    <n v="12"/>
    <n v="1"/>
    <n v="34"/>
    <s v="No"/>
    <n v="1"/>
    <n v="1"/>
    <n v="1"/>
    <n v="1"/>
    <n v="3"/>
    <x v="0"/>
  </r>
  <r>
    <s v="CUST-0373"/>
    <x v="2"/>
    <x v="0"/>
    <s v="Finance"/>
    <x v="3"/>
    <n v="4"/>
    <n v="289"/>
    <x v="2"/>
    <s v="Europe"/>
    <d v="2025-10-29T00:00:00"/>
    <x v="1"/>
    <s v="NULL"/>
    <x v="1"/>
    <n v="6"/>
    <n v="2"/>
    <n v="63"/>
    <s v="No"/>
    <n v="0"/>
    <n v="0"/>
    <n v="1"/>
    <n v="0"/>
    <n v="1"/>
    <x v="1"/>
  </r>
  <r>
    <s v="CUST-0374"/>
    <x v="1"/>
    <x v="0"/>
    <s v="Real Estate"/>
    <x v="4"/>
    <n v="139"/>
    <n v="629"/>
    <x v="4"/>
    <s v="Asia Pacific"/>
    <d v="2022-01-08T00:00:00"/>
    <x v="0"/>
    <s v="2022-04-08"/>
    <x v="7"/>
    <n v="10"/>
    <n v="6"/>
    <n v="20"/>
    <s v="No"/>
    <n v="1"/>
    <n v="1"/>
    <n v="1"/>
    <n v="0"/>
    <n v="2"/>
    <x v="0"/>
  </r>
  <r>
    <s v="CUST-0375"/>
    <x v="1"/>
    <x v="1"/>
    <s v="Legal"/>
    <x v="2"/>
    <n v="16"/>
    <n v="80"/>
    <x v="0"/>
    <s v="Europe"/>
    <d v="2022-05-12T00:00:00"/>
    <x v="0"/>
    <s v="2023-01-05"/>
    <x v="7"/>
    <n v="7"/>
    <n v="5"/>
    <n v="18"/>
    <s v="No"/>
    <n v="1"/>
    <n v="1"/>
    <n v="1"/>
    <n v="0"/>
    <n v="2"/>
    <x v="0"/>
  </r>
  <r>
    <s v="CUST-0376"/>
    <x v="3"/>
    <x v="1"/>
    <s v="Healthcare"/>
    <x v="0"/>
    <n v="46"/>
    <n v="3287"/>
    <x v="2"/>
    <s v="North America"/>
    <d v="2023-03-09T00:00:00"/>
    <x v="0"/>
    <s v="2024-06-16"/>
    <x v="6"/>
    <n v="12"/>
    <n v="5"/>
    <n v="27"/>
    <s v="No"/>
    <n v="1"/>
    <n v="1"/>
    <n v="1"/>
    <n v="1"/>
    <n v="3"/>
    <x v="0"/>
  </r>
  <r>
    <s v="CUST-0377"/>
    <x v="1"/>
    <x v="0"/>
    <s v="Legal"/>
    <x v="2"/>
    <n v="26"/>
    <n v="138"/>
    <x v="0"/>
    <s v="Latin America"/>
    <d v="2023-09-22T00:00:00"/>
    <x v="0"/>
    <s v="2023-12-09"/>
    <x v="2"/>
    <n v="12"/>
    <n v="1"/>
    <n v="33"/>
    <s v="No"/>
    <n v="1"/>
    <n v="1"/>
    <n v="1"/>
    <n v="1"/>
    <n v="3"/>
    <x v="0"/>
  </r>
  <r>
    <s v="CUST-0378"/>
    <x v="2"/>
    <x v="0"/>
    <s v="Manufacturing"/>
    <x v="2"/>
    <n v="5"/>
    <n v="318"/>
    <x v="0"/>
    <s v="Asia Pacific"/>
    <d v="2022-05-11T00:00:00"/>
    <x v="0"/>
    <s v="2023-11-07"/>
    <x v="2"/>
    <n v="10"/>
    <n v="6"/>
    <n v="31"/>
    <s v="No"/>
    <n v="1"/>
    <n v="1"/>
    <n v="1"/>
    <n v="0"/>
    <n v="2"/>
    <x v="0"/>
  </r>
  <r>
    <s v="CUST-0379"/>
    <x v="1"/>
    <x v="1"/>
    <s v="Technology"/>
    <x v="4"/>
    <n v="62"/>
    <n v="250"/>
    <x v="5"/>
    <s v="Asia Pacific"/>
    <d v="2023-07-22T00:00:00"/>
    <x v="0"/>
    <s v="2023-08-24"/>
    <x v="7"/>
    <n v="13"/>
    <n v="6"/>
    <n v="10"/>
    <s v="No"/>
    <n v="1"/>
    <n v="1"/>
    <n v="1"/>
    <n v="1"/>
    <n v="3"/>
    <x v="0"/>
  </r>
  <r>
    <s v="CUST-0380"/>
    <x v="2"/>
    <x v="1"/>
    <s v="Manufacturing"/>
    <x v="4"/>
    <n v="150"/>
    <n v="3950"/>
    <x v="0"/>
    <s v="North America"/>
    <d v="2024-04-07T00:00:00"/>
    <x v="1"/>
    <s v="NULL"/>
    <x v="1"/>
    <n v="7"/>
    <n v="9"/>
    <n v="67"/>
    <s v="No"/>
    <n v="0"/>
    <n v="0"/>
    <n v="0"/>
    <n v="0"/>
    <n v="0"/>
    <x v="2"/>
  </r>
  <r>
    <s v="CUST-0381"/>
    <x v="1"/>
    <x v="1"/>
    <s v="Real Estate"/>
    <x v="4"/>
    <n v="126"/>
    <n v="487"/>
    <x v="1"/>
    <s v="Asia Pacific"/>
    <d v="2022-08-26T00:00:00"/>
    <x v="1"/>
    <s v="NULL"/>
    <x v="1"/>
    <n v="11"/>
    <n v="5"/>
    <n v="74"/>
    <s v="No"/>
    <n v="0"/>
    <n v="0"/>
    <n v="1"/>
    <n v="1"/>
    <n v="2"/>
    <x v="0"/>
  </r>
  <r>
    <s v="CUST-0382"/>
    <x v="1"/>
    <x v="0"/>
    <s v="Retail"/>
    <x v="2"/>
    <n v="24"/>
    <n v="129"/>
    <x v="0"/>
    <s v="North America"/>
    <d v="2023-01-14T00:00:00"/>
    <x v="0"/>
    <s v="2025-09-22"/>
    <x v="0"/>
    <n v="11"/>
    <n v="1"/>
    <n v="16"/>
    <s v="No"/>
    <n v="1"/>
    <n v="1"/>
    <n v="1"/>
    <n v="1"/>
    <n v="3"/>
    <x v="0"/>
  </r>
  <r>
    <s v="CUST-0383"/>
    <x v="0"/>
    <x v="1"/>
    <s v="Technology"/>
    <x v="3"/>
    <n v="4"/>
    <n v="97"/>
    <x v="3"/>
    <s v="North America"/>
    <d v="2025-02-27T00:00:00"/>
    <x v="0"/>
    <s v="2025-11-09"/>
    <x v="3"/>
    <n v="0"/>
    <n v="4"/>
    <n v="29"/>
    <s v="No"/>
    <n v="1"/>
    <n v="1"/>
    <n v="1"/>
    <n v="0"/>
    <n v="2"/>
    <x v="0"/>
  </r>
  <r>
    <s v="CUST-0384"/>
    <x v="3"/>
    <x v="0"/>
    <s v="Consulting"/>
    <x v="4"/>
    <n v="141"/>
    <n v="10978"/>
    <x v="4"/>
    <s v="Europe"/>
    <d v="2022-09-24T00:00:00"/>
    <x v="1"/>
    <s v="NULL"/>
    <x v="1"/>
    <n v="6"/>
    <n v="2"/>
    <n v="49"/>
    <s v="No"/>
    <n v="0"/>
    <n v="1"/>
    <n v="1"/>
    <n v="0"/>
    <n v="2"/>
    <x v="0"/>
  </r>
  <r>
    <s v="CUST-0385"/>
    <x v="1"/>
    <x v="1"/>
    <s v="Retail"/>
    <x v="4"/>
    <n v="142"/>
    <n v="546"/>
    <x v="4"/>
    <s v="North America"/>
    <d v="2023-09-02T00:00:00"/>
    <x v="0"/>
    <s v="2023-09-30"/>
    <x v="6"/>
    <n v="13"/>
    <n v="2"/>
    <n v="31"/>
    <s v="No"/>
    <n v="1"/>
    <n v="1"/>
    <n v="1"/>
    <n v="1"/>
    <n v="3"/>
    <x v="0"/>
  </r>
  <r>
    <s v="CUST-0386"/>
    <x v="0"/>
    <x v="0"/>
    <s v="Real Estate"/>
    <x v="3"/>
    <n v="4"/>
    <n v="115"/>
    <x v="3"/>
    <s v="Latin America"/>
    <d v="2025-08-20T00:00:00"/>
    <x v="0"/>
    <s v="2025-12-13"/>
    <x v="4"/>
    <n v="7"/>
    <n v="1"/>
    <n v="24"/>
    <s v="No"/>
    <n v="1"/>
    <n v="1"/>
    <n v="1"/>
    <n v="0"/>
    <n v="2"/>
    <x v="0"/>
  </r>
  <r>
    <s v="CUST-0387"/>
    <x v="1"/>
    <x v="0"/>
    <s v="Legal"/>
    <x v="3"/>
    <n v="3"/>
    <n v="38"/>
    <x v="3"/>
    <s v="North America"/>
    <d v="2023-07-30T00:00:00"/>
    <x v="0"/>
    <s v="2023-12-10"/>
    <x v="0"/>
    <n v="11"/>
    <n v="1"/>
    <n v="46"/>
    <s v="No"/>
    <n v="1"/>
    <n v="1"/>
    <n v="1"/>
    <n v="1"/>
    <n v="3"/>
    <x v="0"/>
  </r>
  <r>
    <s v="CUST-0388"/>
    <x v="0"/>
    <x v="1"/>
    <s v="Consulting"/>
    <x v="2"/>
    <n v="31"/>
    <n v="369"/>
    <x v="2"/>
    <s v="Asia Pacific"/>
    <d v="2023-05-25T00:00:00"/>
    <x v="1"/>
    <s v="NULL"/>
    <x v="1"/>
    <n v="11"/>
    <n v="4"/>
    <n v="66"/>
    <s v="No"/>
    <n v="0"/>
    <n v="0"/>
    <n v="1"/>
    <n v="1"/>
    <n v="2"/>
    <x v="0"/>
  </r>
  <r>
    <s v="CUST-0389"/>
    <x v="0"/>
    <x v="1"/>
    <s v="Media"/>
    <x v="4"/>
    <n v="94"/>
    <n v="1004"/>
    <x v="3"/>
    <s v="Latin America"/>
    <d v="2024-06-27T00:00:00"/>
    <x v="1"/>
    <s v="NULL"/>
    <x v="1"/>
    <n v="7"/>
    <n v="7"/>
    <n v="62"/>
    <s v="No"/>
    <n v="0"/>
    <n v="0"/>
    <n v="0"/>
    <n v="0"/>
    <n v="0"/>
    <x v="2"/>
  </r>
  <r>
    <s v="CUST-0390"/>
    <x v="0"/>
    <x v="0"/>
    <s v="Manufacturing"/>
    <x v="4"/>
    <n v="38"/>
    <n v="517"/>
    <x v="4"/>
    <s v="North America"/>
    <d v="2023-05-13T00:00:00"/>
    <x v="0"/>
    <s v="2024-07-27"/>
    <x v="2"/>
    <n v="4"/>
    <n v="4"/>
    <n v="44"/>
    <s v="No"/>
    <n v="1"/>
    <n v="1"/>
    <n v="1"/>
    <n v="0"/>
    <n v="2"/>
    <x v="0"/>
  </r>
  <r>
    <s v="CUST-0391"/>
    <x v="1"/>
    <x v="1"/>
    <s v="Manufacturing"/>
    <x v="3"/>
    <n v="8"/>
    <n v="51"/>
    <x v="4"/>
    <s v="Europe"/>
    <d v="2022-10-31T00:00:00"/>
    <x v="0"/>
    <s v="2024-06-10"/>
    <x v="6"/>
    <n v="2"/>
    <n v="6"/>
    <n v="17"/>
    <s v="No"/>
    <n v="1"/>
    <n v="1"/>
    <n v="1"/>
    <n v="0"/>
    <n v="2"/>
    <x v="0"/>
  </r>
  <r>
    <s v="CUST-0392"/>
    <x v="1"/>
    <x v="0"/>
    <s v="Media"/>
    <x v="2"/>
    <n v="19"/>
    <n v="107"/>
    <x v="4"/>
    <s v="North America"/>
    <d v="2024-03-10T00:00:00"/>
    <x v="0"/>
    <s v="2024-05-06"/>
    <x v="7"/>
    <n v="9"/>
    <n v="5"/>
    <n v="18"/>
    <s v="No"/>
    <n v="1"/>
    <n v="1"/>
    <n v="1"/>
    <n v="0"/>
    <n v="2"/>
    <x v="0"/>
  </r>
  <r>
    <s v="CUST-0393"/>
    <x v="0"/>
    <x v="0"/>
    <s v="Media"/>
    <x v="0"/>
    <n v="39"/>
    <n v="529"/>
    <x v="1"/>
    <s v="North America"/>
    <d v="2025-02-13T00:00:00"/>
    <x v="1"/>
    <s v="NULL"/>
    <x v="1"/>
    <n v="1"/>
    <n v="10"/>
    <n v="49"/>
    <s v="No"/>
    <n v="0"/>
    <n v="1"/>
    <n v="0"/>
    <n v="0"/>
    <n v="1"/>
    <x v="1"/>
  </r>
  <r>
    <s v="CUST-0394"/>
    <x v="0"/>
    <x v="1"/>
    <s v="Real Estate"/>
    <x v="2"/>
    <n v="19"/>
    <n v="248"/>
    <x v="0"/>
    <s v="North America"/>
    <d v="2024-03-28T00:00:00"/>
    <x v="1"/>
    <s v="NULL"/>
    <x v="1"/>
    <n v="5"/>
    <n v="6"/>
    <n v="23"/>
    <s v="No"/>
    <n v="0"/>
    <n v="1"/>
    <n v="1"/>
    <n v="0"/>
    <n v="2"/>
    <x v="0"/>
  </r>
  <r>
    <s v="CUST-0395"/>
    <x v="2"/>
    <x v="0"/>
    <s v="Finance"/>
    <x v="3"/>
    <n v="4"/>
    <n v="289"/>
    <x v="0"/>
    <s v="Europe"/>
    <d v="2024-03-12T00:00:00"/>
    <x v="1"/>
    <s v="NULL"/>
    <x v="1"/>
    <n v="0"/>
    <n v="4"/>
    <n v="39"/>
    <s v="No"/>
    <n v="0"/>
    <n v="1"/>
    <n v="1"/>
    <n v="0"/>
    <n v="2"/>
    <x v="0"/>
  </r>
  <r>
    <s v="CUST-0396"/>
    <x v="0"/>
    <x v="0"/>
    <s v="Education"/>
    <x v="3"/>
    <n v="7"/>
    <n v="150"/>
    <x v="3"/>
    <s v="Europe"/>
    <d v="2023-10-18T00:00:00"/>
    <x v="1"/>
    <s v="NULL"/>
    <x v="1"/>
    <n v="3"/>
    <n v="7"/>
    <n v="73"/>
    <s v="No"/>
    <n v="0"/>
    <n v="0"/>
    <n v="0"/>
    <n v="0"/>
    <n v="0"/>
    <x v="2"/>
  </r>
  <r>
    <s v="CUST-0397"/>
    <x v="1"/>
    <x v="1"/>
    <s v="Real Estate"/>
    <x v="2"/>
    <n v="5"/>
    <n v="39"/>
    <x v="0"/>
    <s v="Europe"/>
    <d v="2024-08-14T00:00:00"/>
    <x v="0"/>
    <s v="2024-10-27"/>
    <x v="5"/>
    <n v="2"/>
    <n v="1"/>
    <n v="39"/>
    <s v="No"/>
    <n v="1"/>
    <n v="1"/>
    <n v="1"/>
    <n v="0"/>
    <n v="2"/>
    <x v="0"/>
  </r>
  <r>
    <s v="CUST-0398"/>
    <x v="2"/>
    <x v="1"/>
    <s v="Finance"/>
    <x v="1"/>
    <n v="252"/>
    <n v="6538"/>
    <x v="0"/>
    <s v="North America"/>
    <d v="2023-04-28T00:00:00"/>
    <x v="0"/>
    <s v="2023-05-22"/>
    <x v="0"/>
    <n v="9"/>
    <n v="6"/>
    <n v="44"/>
    <s v="No"/>
    <n v="1"/>
    <n v="1"/>
    <n v="1"/>
    <n v="0"/>
    <n v="2"/>
    <x v="0"/>
  </r>
  <r>
    <s v="CUST-0399"/>
    <x v="2"/>
    <x v="1"/>
    <s v="Real Estate"/>
    <x v="4"/>
    <n v="86"/>
    <n v="2326"/>
    <x v="4"/>
    <s v="North America"/>
    <d v="2023-10-10T00:00:00"/>
    <x v="0"/>
    <s v="2025-11-23"/>
    <x v="3"/>
    <n v="0"/>
    <n v="2"/>
    <n v="11"/>
    <s v="No"/>
    <n v="1"/>
    <n v="1"/>
    <n v="1"/>
    <n v="0"/>
    <n v="2"/>
    <x v="0"/>
  </r>
  <r>
    <s v="CUST-0400"/>
    <x v="1"/>
    <x v="1"/>
    <s v="Education"/>
    <x v="3"/>
    <n v="5"/>
    <n v="39"/>
    <x v="2"/>
    <s v="North America"/>
    <d v="2022-07-29T00:00:00"/>
    <x v="0"/>
    <s v="2024-07-19"/>
    <x v="4"/>
    <n v="3"/>
    <n v="1"/>
    <n v="34"/>
    <s v="No"/>
    <n v="1"/>
    <n v="1"/>
    <n v="1"/>
    <n v="0"/>
    <n v="2"/>
    <x v="0"/>
  </r>
  <r>
    <s v="CUST-0401"/>
    <x v="2"/>
    <x v="1"/>
    <s v="Healthcare"/>
    <x v="3"/>
    <n v="7"/>
    <n v="321"/>
    <x v="0"/>
    <s v="North America"/>
    <d v="2024-11-06T00:00:00"/>
    <x v="1"/>
    <s v="NULL"/>
    <x v="1"/>
    <n v="9"/>
    <n v="9"/>
    <n v="30"/>
    <s v="No"/>
    <n v="0"/>
    <n v="1"/>
    <n v="0"/>
    <n v="0"/>
    <n v="1"/>
    <x v="1"/>
  </r>
  <r>
    <s v="CUST-0402"/>
    <x v="0"/>
    <x v="1"/>
    <s v="Media"/>
    <x v="0"/>
    <n v="34"/>
    <n v="400"/>
    <x v="3"/>
    <s v="Europe"/>
    <d v="2022-04-04T00:00:00"/>
    <x v="0"/>
    <s v="2024-08-24"/>
    <x v="5"/>
    <n v="14"/>
    <n v="1"/>
    <n v="34"/>
    <s v="No"/>
    <n v="1"/>
    <n v="1"/>
    <n v="1"/>
    <n v="1"/>
    <n v="3"/>
    <x v="0"/>
  </r>
  <r>
    <s v="CUST-0403"/>
    <x v="2"/>
    <x v="0"/>
    <s v="Consulting"/>
    <x v="3"/>
    <n v="8"/>
    <n v="408"/>
    <x v="0"/>
    <s v="North America"/>
    <d v="2023-01-22T00:00:00"/>
    <x v="0"/>
    <s v="2024-08-27"/>
    <x v="2"/>
    <n v="13"/>
    <n v="5"/>
    <n v="25"/>
    <s v="No"/>
    <n v="1"/>
    <n v="1"/>
    <n v="1"/>
    <n v="1"/>
    <n v="3"/>
    <x v="0"/>
  </r>
  <r>
    <s v="CUST-0404"/>
    <x v="2"/>
    <x v="0"/>
    <s v="Healthcare"/>
    <x v="0"/>
    <n v="43"/>
    <n v="1453"/>
    <x v="2"/>
    <s v="North America"/>
    <d v="2025-09-25T00:00:00"/>
    <x v="1"/>
    <s v="NULL"/>
    <x v="1"/>
    <n v="4"/>
    <n v="5"/>
    <n v="79"/>
    <s v="No"/>
    <n v="0"/>
    <n v="0"/>
    <n v="1"/>
    <n v="0"/>
    <n v="1"/>
    <x v="1"/>
  </r>
  <r>
    <s v="CUST-0405"/>
    <x v="2"/>
    <x v="0"/>
    <s v="Manufacturing"/>
    <x v="2"/>
    <n v="7"/>
    <n v="378"/>
    <x v="4"/>
    <s v="North America"/>
    <d v="2025-02-23T00:00:00"/>
    <x v="1"/>
    <s v="NULL"/>
    <x v="1"/>
    <n v="11"/>
    <n v="1"/>
    <n v="29"/>
    <s v="Yes"/>
    <n v="0"/>
    <n v="1"/>
    <n v="1"/>
    <n v="1"/>
    <n v="3"/>
    <x v="0"/>
  </r>
  <r>
    <s v="CUST-0406"/>
    <x v="2"/>
    <x v="0"/>
    <s v="Retail"/>
    <x v="0"/>
    <n v="29"/>
    <n v="1035"/>
    <x v="1"/>
    <s v="North America"/>
    <d v="2023-02-22T00:00:00"/>
    <x v="0"/>
    <s v="2025-09-29"/>
    <x v="7"/>
    <n v="14"/>
    <n v="4"/>
    <n v="41"/>
    <s v="No"/>
    <n v="1"/>
    <n v="1"/>
    <n v="1"/>
    <n v="1"/>
    <n v="3"/>
    <x v="0"/>
  </r>
  <r>
    <s v="CUST-0407"/>
    <x v="0"/>
    <x v="1"/>
    <s v="Consulting"/>
    <x v="1"/>
    <n v="115"/>
    <n v="1215"/>
    <x v="3"/>
    <s v="Europe"/>
    <d v="2022-09-12T00:00:00"/>
    <x v="0"/>
    <s v="2023-04-03"/>
    <x v="7"/>
    <n v="7"/>
    <n v="4"/>
    <n v="48"/>
    <s v="No"/>
    <n v="1"/>
    <n v="1"/>
    <n v="1"/>
    <n v="0"/>
    <n v="2"/>
    <x v="0"/>
  </r>
  <r>
    <s v="CUST-0408"/>
    <x v="1"/>
    <x v="0"/>
    <s v="Finance"/>
    <x v="0"/>
    <n v="75"/>
    <n v="351"/>
    <x v="4"/>
    <s v="North America"/>
    <d v="2025-10-14T00:00:00"/>
    <x v="1"/>
    <s v="NULL"/>
    <x v="1"/>
    <n v="10"/>
    <n v="8"/>
    <n v="92"/>
    <s v="No"/>
    <n v="0"/>
    <n v="0"/>
    <n v="0"/>
    <n v="0"/>
    <n v="0"/>
    <x v="2"/>
  </r>
  <r>
    <s v="CUST-0409"/>
    <x v="1"/>
    <x v="0"/>
    <s v="Manufacturing"/>
    <x v="3"/>
    <n v="8"/>
    <n v="59"/>
    <x v="3"/>
    <s v="North America"/>
    <d v="2025-04-01T00:00:00"/>
    <x v="0"/>
    <s v="2025-04-19"/>
    <x v="2"/>
    <n v="11"/>
    <n v="2"/>
    <n v="27"/>
    <s v="No"/>
    <n v="1"/>
    <n v="1"/>
    <n v="1"/>
    <n v="1"/>
    <n v="3"/>
    <x v="0"/>
  </r>
  <r>
    <s v="CUST-0410"/>
    <x v="0"/>
    <x v="0"/>
    <s v="Legal"/>
    <x v="4"/>
    <n v="125"/>
    <n v="1548"/>
    <x v="3"/>
    <s v="North America"/>
    <d v="2022-03-17T00:00:00"/>
    <x v="0"/>
    <s v="2023-06-19"/>
    <x v="0"/>
    <n v="14"/>
    <n v="4"/>
    <n v="12"/>
    <s v="No"/>
    <n v="1"/>
    <n v="1"/>
    <n v="1"/>
    <n v="1"/>
    <n v="3"/>
    <x v="0"/>
  </r>
  <r>
    <s v="CUST-0411"/>
    <x v="0"/>
    <x v="0"/>
    <s v="Finance"/>
    <x v="4"/>
    <n v="92"/>
    <n v="1157"/>
    <x v="4"/>
    <s v="Europe"/>
    <d v="2024-08-28T00:00:00"/>
    <x v="0"/>
    <s v="2025-10-02"/>
    <x v="0"/>
    <n v="13"/>
    <n v="1"/>
    <n v="18"/>
    <s v="No"/>
    <n v="1"/>
    <n v="1"/>
    <n v="1"/>
    <n v="1"/>
    <n v="3"/>
    <x v="0"/>
  </r>
  <r>
    <s v="CUST-0412"/>
    <x v="0"/>
    <x v="0"/>
    <s v="Healthcare"/>
    <x v="0"/>
    <n v="45"/>
    <n v="600"/>
    <x v="4"/>
    <s v="North America"/>
    <d v="2022-11-25T00:00:00"/>
    <x v="0"/>
    <s v="2023-05-25"/>
    <x v="6"/>
    <n v="8"/>
    <n v="4"/>
    <n v="24"/>
    <s v="No"/>
    <n v="1"/>
    <n v="1"/>
    <n v="1"/>
    <n v="0"/>
    <n v="2"/>
    <x v="0"/>
  </r>
  <r>
    <s v="CUST-0413"/>
    <x v="2"/>
    <x v="1"/>
    <s v="Real Estate"/>
    <x v="4"/>
    <n v="49"/>
    <n v="1387"/>
    <x v="2"/>
    <s v="Asia Pacific"/>
    <d v="2022-10-13T00:00:00"/>
    <x v="1"/>
    <s v="NULL"/>
    <x v="1"/>
    <n v="0"/>
    <n v="9"/>
    <n v="95"/>
    <s v="No"/>
    <n v="0"/>
    <n v="0"/>
    <n v="0"/>
    <n v="0"/>
    <n v="0"/>
    <x v="2"/>
  </r>
  <r>
    <s v="CUST-0414"/>
    <x v="2"/>
    <x v="0"/>
    <s v="Real Estate"/>
    <x v="4"/>
    <n v="137"/>
    <n v="4259"/>
    <x v="3"/>
    <s v="Asia Pacific"/>
    <d v="2023-07-23T00:00:00"/>
    <x v="0"/>
    <s v="2024-08-12"/>
    <x v="7"/>
    <n v="15"/>
    <n v="1"/>
    <n v="25"/>
    <s v="No"/>
    <n v="1"/>
    <n v="1"/>
    <n v="1"/>
    <n v="1"/>
    <n v="3"/>
    <x v="0"/>
  </r>
  <r>
    <s v="CUST-0415"/>
    <x v="1"/>
    <x v="0"/>
    <s v="Retail"/>
    <x v="2"/>
    <n v="13"/>
    <n v="81"/>
    <x v="5"/>
    <s v="Europe"/>
    <d v="2024-09-08T00:00:00"/>
    <x v="0"/>
    <s v="2024-10-15"/>
    <x v="3"/>
    <n v="7"/>
    <n v="3"/>
    <n v="45"/>
    <s v="No"/>
    <n v="1"/>
    <n v="1"/>
    <n v="1"/>
    <n v="0"/>
    <n v="2"/>
    <x v="0"/>
  </r>
  <r>
    <s v="CUST-0416"/>
    <x v="2"/>
    <x v="1"/>
    <s v="Manufacturing"/>
    <x v="2"/>
    <n v="14"/>
    <n v="499"/>
    <x v="5"/>
    <s v="Europe"/>
    <d v="2025-02-18T00:00:00"/>
    <x v="0"/>
    <s v="2025-05-18"/>
    <x v="7"/>
    <n v="13"/>
    <n v="1"/>
    <n v="33"/>
    <s v="No"/>
    <n v="1"/>
    <n v="1"/>
    <n v="1"/>
    <n v="1"/>
    <n v="3"/>
    <x v="0"/>
  </r>
  <r>
    <s v="CUST-0417"/>
    <x v="1"/>
    <x v="1"/>
    <s v="Real Estate"/>
    <x v="2"/>
    <n v="18"/>
    <n v="88"/>
    <x v="0"/>
    <s v="Latin America"/>
    <d v="2024-08-17T00:00:00"/>
    <x v="0"/>
    <s v="2024-10-30"/>
    <x v="0"/>
    <n v="10"/>
    <n v="1"/>
    <n v="36"/>
    <s v="No"/>
    <n v="1"/>
    <n v="1"/>
    <n v="1"/>
    <n v="0"/>
    <n v="2"/>
    <x v="0"/>
  </r>
  <r>
    <s v="CUST-0418"/>
    <x v="1"/>
    <x v="0"/>
    <s v="Consulting"/>
    <x v="3"/>
    <n v="2"/>
    <n v="33"/>
    <x v="5"/>
    <s v="Latin America"/>
    <d v="2022-10-05T00:00:00"/>
    <x v="0"/>
    <s v="2023-07-03"/>
    <x v="3"/>
    <n v="11"/>
    <n v="1"/>
    <n v="37"/>
    <s v="No"/>
    <n v="1"/>
    <n v="1"/>
    <n v="1"/>
    <n v="1"/>
    <n v="3"/>
    <x v="0"/>
  </r>
  <r>
    <s v="CUST-0419"/>
    <x v="0"/>
    <x v="1"/>
    <s v="Manufacturing"/>
    <x v="4"/>
    <n v="143"/>
    <n v="1497"/>
    <x v="0"/>
    <s v="Europe"/>
    <d v="2022-04-04T00:00:00"/>
    <x v="1"/>
    <s v="NULL"/>
    <x v="1"/>
    <n v="2"/>
    <n v="9"/>
    <n v="29"/>
    <s v="Yes"/>
    <n v="0"/>
    <n v="1"/>
    <n v="0"/>
    <n v="0"/>
    <n v="1"/>
    <x v="1"/>
  </r>
  <r>
    <s v="CUST-0420"/>
    <x v="0"/>
    <x v="0"/>
    <s v="Retail"/>
    <x v="3"/>
    <n v="8"/>
    <n v="162"/>
    <x v="3"/>
    <s v="North America"/>
    <d v="2022-03-07T00:00:00"/>
    <x v="0"/>
    <s v="2024-02-27"/>
    <x v="7"/>
    <n v="7"/>
    <n v="2"/>
    <n v="10"/>
    <s v="No"/>
    <n v="1"/>
    <n v="1"/>
    <n v="1"/>
    <n v="0"/>
    <n v="2"/>
    <x v="0"/>
  </r>
  <r>
    <s v="CUST-0421"/>
    <x v="0"/>
    <x v="0"/>
    <s v="Manufacturing"/>
    <x v="1"/>
    <n v="185"/>
    <n v="2259"/>
    <x v="4"/>
    <s v="North America"/>
    <d v="2022-09-26T00:00:00"/>
    <x v="0"/>
    <s v="2023-01-27"/>
    <x v="2"/>
    <n v="10"/>
    <n v="6"/>
    <n v="29"/>
    <s v="No"/>
    <n v="1"/>
    <n v="1"/>
    <n v="1"/>
    <n v="0"/>
    <n v="2"/>
    <x v="0"/>
  </r>
  <r>
    <s v="CUST-0422"/>
    <x v="0"/>
    <x v="0"/>
    <s v="Consulting"/>
    <x v="0"/>
    <n v="59"/>
    <n v="766"/>
    <x v="5"/>
    <s v="North America"/>
    <d v="2023-04-14T00:00:00"/>
    <x v="1"/>
    <s v="NULL"/>
    <x v="1"/>
    <n v="3"/>
    <n v="7"/>
    <n v="92"/>
    <s v="Yes"/>
    <n v="0"/>
    <n v="0"/>
    <n v="0"/>
    <n v="0"/>
    <n v="0"/>
    <x v="2"/>
  </r>
  <r>
    <s v="CUST-0423"/>
    <x v="1"/>
    <x v="0"/>
    <s v="Manufacturing"/>
    <x v="2"/>
    <n v="15"/>
    <n v="90"/>
    <x v="3"/>
    <s v="Europe"/>
    <d v="2023-10-29T00:00:00"/>
    <x v="0"/>
    <s v="2024-06-25"/>
    <x v="0"/>
    <n v="4"/>
    <n v="5"/>
    <n v="20"/>
    <s v="No"/>
    <n v="1"/>
    <n v="1"/>
    <n v="1"/>
    <n v="0"/>
    <n v="2"/>
    <x v="0"/>
  </r>
  <r>
    <s v="CUST-0424"/>
    <x v="1"/>
    <x v="0"/>
    <s v="Media"/>
    <x v="3"/>
    <n v="5"/>
    <n v="46"/>
    <x v="3"/>
    <s v="Europe"/>
    <d v="2023-04-25T00:00:00"/>
    <x v="0"/>
    <s v="2024-08-21"/>
    <x v="4"/>
    <n v="11"/>
    <n v="6"/>
    <n v="50"/>
    <s v="No"/>
    <n v="1"/>
    <n v="0"/>
    <n v="1"/>
    <n v="1"/>
    <n v="2"/>
    <x v="0"/>
  </r>
  <r>
    <s v="CUST-0425"/>
    <x v="1"/>
    <x v="0"/>
    <s v="Technology"/>
    <x v="3"/>
    <n v="6"/>
    <n v="51"/>
    <x v="3"/>
    <s v="Asia Pacific"/>
    <d v="2025-03-15T00:00:00"/>
    <x v="0"/>
    <s v="2025-07-31"/>
    <x v="6"/>
    <n v="6"/>
    <n v="2"/>
    <n v="22"/>
    <s v="No"/>
    <n v="1"/>
    <n v="1"/>
    <n v="1"/>
    <n v="0"/>
    <n v="2"/>
    <x v="0"/>
  </r>
  <r>
    <s v="CUST-0426"/>
    <x v="2"/>
    <x v="0"/>
    <s v="Education"/>
    <x v="3"/>
    <n v="7"/>
    <n v="378"/>
    <x v="0"/>
    <s v="North America"/>
    <d v="2024-03-06T00:00:00"/>
    <x v="1"/>
    <s v="NULL"/>
    <x v="1"/>
    <n v="10"/>
    <n v="10"/>
    <n v="68"/>
    <s v="Yes"/>
    <n v="0"/>
    <n v="0"/>
    <n v="0"/>
    <n v="0"/>
    <n v="0"/>
    <x v="2"/>
  </r>
  <r>
    <s v="CUST-0427"/>
    <x v="1"/>
    <x v="1"/>
    <s v="Real Estate"/>
    <x v="0"/>
    <n v="79"/>
    <n v="313"/>
    <x v="4"/>
    <s v="Latin America"/>
    <d v="2024-12-25T00:00:00"/>
    <x v="1"/>
    <s v="NULL"/>
    <x v="1"/>
    <n v="6"/>
    <n v="7"/>
    <n v="37"/>
    <s v="No"/>
    <n v="0"/>
    <n v="1"/>
    <n v="0"/>
    <n v="0"/>
    <n v="1"/>
    <x v="1"/>
  </r>
  <r>
    <s v="CUST-0428"/>
    <x v="1"/>
    <x v="0"/>
    <s v="Real Estate"/>
    <x v="2"/>
    <n v="11"/>
    <n v="73"/>
    <x v="0"/>
    <s v="North America"/>
    <d v="2025-10-18T00:00:00"/>
    <x v="1"/>
    <s v="NULL"/>
    <x v="1"/>
    <n v="1"/>
    <n v="4"/>
    <n v="24"/>
    <s v="No"/>
    <n v="0"/>
    <n v="1"/>
    <n v="1"/>
    <n v="0"/>
    <n v="2"/>
    <x v="0"/>
  </r>
  <r>
    <s v="CUST-0429"/>
    <x v="0"/>
    <x v="0"/>
    <s v="Media"/>
    <x v="2"/>
    <n v="15"/>
    <n v="245"/>
    <x v="4"/>
    <s v="Europe"/>
    <d v="2025-06-09T00:00:00"/>
    <x v="1"/>
    <s v="NULL"/>
    <x v="1"/>
    <n v="8"/>
    <n v="5"/>
    <n v="32"/>
    <s v="No"/>
    <n v="0"/>
    <n v="1"/>
    <n v="1"/>
    <n v="0"/>
    <n v="2"/>
    <x v="0"/>
  </r>
  <r>
    <s v="CUST-0430"/>
    <x v="2"/>
    <x v="0"/>
    <s v="Education"/>
    <x v="2"/>
    <n v="20"/>
    <n v="766"/>
    <x v="3"/>
    <s v="Europe"/>
    <d v="2025-11-05T00:00:00"/>
    <x v="1"/>
    <s v="NULL"/>
    <x v="1"/>
    <n v="2"/>
    <n v="9"/>
    <n v="39"/>
    <s v="No"/>
    <n v="0"/>
    <n v="1"/>
    <n v="0"/>
    <n v="0"/>
    <n v="1"/>
    <x v="1"/>
  </r>
  <r>
    <s v="CUST-0431"/>
    <x v="1"/>
    <x v="1"/>
    <s v="Real Estate"/>
    <x v="2"/>
    <n v="27"/>
    <n v="121"/>
    <x v="0"/>
    <s v="Asia Pacific"/>
    <d v="2025-10-03T00:00:00"/>
    <x v="1"/>
    <s v="NULL"/>
    <x v="1"/>
    <n v="3"/>
    <n v="8"/>
    <n v="22"/>
    <s v="No"/>
    <n v="0"/>
    <n v="1"/>
    <n v="0"/>
    <n v="0"/>
    <n v="1"/>
    <x v="1"/>
  </r>
  <r>
    <s v="CUST-0432"/>
    <x v="0"/>
    <x v="1"/>
    <s v="Education"/>
    <x v="0"/>
    <n v="28"/>
    <n v="339"/>
    <x v="0"/>
    <s v="North America"/>
    <d v="2025-05-10T00:00:00"/>
    <x v="1"/>
    <s v="NULL"/>
    <x v="1"/>
    <n v="2"/>
    <n v="1"/>
    <n v="51"/>
    <s v="No"/>
    <n v="0"/>
    <n v="0"/>
    <n v="1"/>
    <n v="0"/>
    <n v="1"/>
    <x v="1"/>
  </r>
  <r>
    <s v="CUST-0433"/>
    <x v="3"/>
    <x v="0"/>
    <s v="Real Estate"/>
    <x v="2"/>
    <n v="25"/>
    <n v="2295"/>
    <x v="0"/>
    <s v="North America"/>
    <d v="2023-08-13T00:00:00"/>
    <x v="0"/>
    <s v="2024-02-25"/>
    <x v="6"/>
    <n v="1"/>
    <n v="1"/>
    <n v="34"/>
    <s v="No"/>
    <n v="1"/>
    <n v="1"/>
    <n v="1"/>
    <n v="0"/>
    <n v="2"/>
    <x v="0"/>
  </r>
  <r>
    <s v="CUST-0434"/>
    <x v="1"/>
    <x v="1"/>
    <s v="Real Estate"/>
    <x v="1"/>
    <n v="222"/>
    <n v="842"/>
    <x v="3"/>
    <s v="North America"/>
    <d v="2022-10-17T00:00:00"/>
    <x v="0"/>
    <s v="2024-12-05"/>
    <x v="2"/>
    <n v="8"/>
    <n v="2"/>
    <n v="47"/>
    <s v="No"/>
    <n v="1"/>
    <n v="1"/>
    <n v="1"/>
    <n v="0"/>
    <n v="2"/>
    <x v="0"/>
  </r>
  <r>
    <s v="CUST-0435"/>
    <x v="1"/>
    <x v="0"/>
    <s v="Retail"/>
    <x v="3"/>
    <n v="4"/>
    <n v="42"/>
    <x v="3"/>
    <s v="Latin America"/>
    <d v="2023-02-09T00:00:00"/>
    <x v="0"/>
    <s v="2023-08-27"/>
    <x v="2"/>
    <n v="5"/>
    <n v="3"/>
    <n v="10"/>
    <s v="No"/>
    <n v="1"/>
    <n v="1"/>
    <n v="1"/>
    <n v="0"/>
    <n v="2"/>
    <x v="0"/>
  </r>
  <r>
    <s v="CUST-0436"/>
    <x v="2"/>
    <x v="1"/>
    <s v="Finance"/>
    <x v="0"/>
    <n v="48"/>
    <n v="1362"/>
    <x v="4"/>
    <s v="Latin America"/>
    <d v="2022-12-11T00:00:00"/>
    <x v="0"/>
    <s v="2024-11-04"/>
    <x v="5"/>
    <n v="7"/>
    <n v="1"/>
    <n v="28"/>
    <s v="No"/>
    <n v="1"/>
    <n v="1"/>
    <n v="1"/>
    <n v="0"/>
    <n v="2"/>
    <x v="0"/>
  </r>
  <r>
    <s v="CUST-0437"/>
    <x v="1"/>
    <x v="0"/>
    <s v="Education"/>
    <x v="2"/>
    <n v="6"/>
    <n v="51"/>
    <x v="3"/>
    <s v="Asia Pacific"/>
    <d v="2023-04-10T00:00:00"/>
    <x v="0"/>
    <s v="2023-06-09"/>
    <x v="2"/>
    <n v="5"/>
    <n v="3"/>
    <n v="18"/>
    <s v="No"/>
    <n v="1"/>
    <n v="1"/>
    <n v="1"/>
    <n v="0"/>
    <n v="2"/>
    <x v="0"/>
  </r>
  <r>
    <s v="CUST-0438"/>
    <x v="1"/>
    <x v="1"/>
    <s v="Technology"/>
    <x v="0"/>
    <n v="44"/>
    <n v="184"/>
    <x v="4"/>
    <s v="Europe"/>
    <d v="2024-11-01T00:00:00"/>
    <x v="0"/>
    <s v="2024-11-03"/>
    <x v="0"/>
    <n v="5"/>
    <n v="6"/>
    <n v="31"/>
    <s v="No"/>
    <n v="1"/>
    <n v="1"/>
    <n v="1"/>
    <n v="0"/>
    <n v="2"/>
    <x v="0"/>
  </r>
  <r>
    <s v="CUST-0439"/>
    <x v="2"/>
    <x v="0"/>
    <s v="Consulting"/>
    <x v="1"/>
    <n v="62"/>
    <n v="2020"/>
    <x v="1"/>
    <s v="Europe"/>
    <d v="2025-06-08T00:00:00"/>
    <x v="0"/>
    <s v="2025-07-18"/>
    <x v="5"/>
    <n v="9"/>
    <n v="4"/>
    <n v="34"/>
    <s v="No"/>
    <n v="1"/>
    <n v="1"/>
    <n v="1"/>
    <n v="0"/>
    <n v="2"/>
    <x v="0"/>
  </r>
  <r>
    <s v="CUST-0440"/>
    <x v="2"/>
    <x v="1"/>
    <s v="Healthcare"/>
    <x v="3"/>
    <n v="8"/>
    <n v="347"/>
    <x v="3"/>
    <s v="Latin America"/>
    <d v="2025-12-01T00:00:00"/>
    <x v="1"/>
    <s v="NULL"/>
    <x v="1"/>
    <n v="1"/>
    <n v="10"/>
    <n v="50"/>
    <s v="No"/>
    <n v="0"/>
    <n v="0"/>
    <n v="0"/>
    <n v="0"/>
    <n v="0"/>
    <x v="2"/>
  </r>
  <r>
    <s v="CUST-0441"/>
    <x v="0"/>
    <x v="1"/>
    <s v="Real Estate"/>
    <x v="4"/>
    <n v="88"/>
    <n v="943"/>
    <x v="4"/>
    <s v="North America"/>
    <d v="2023-08-13T00:00:00"/>
    <x v="0"/>
    <s v="2024-01-17"/>
    <x v="3"/>
    <n v="8"/>
    <n v="4"/>
    <n v="44"/>
    <s v="No"/>
    <n v="1"/>
    <n v="1"/>
    <n v="1"/>
    <n v="0"/>
    <n v="2"/>
    <x v="0"/>
  </r>
  <r>
    <s v="CUST-0442"/>
    <x v="2"/>
    <x v="1"/>
    <s v="Healthcare"/>
    <x v="0"/>
    <n v="54"/>
    <n v="1514"/>
    <x v="4"/>
    <s v="Asia Pacific"/>
    <d v="2024-04-05T00:00:00"/>
    <x v="1"/>
    <s v="NULL"/>
    <x v="1"/>
    <n v="10"/>
    <n v="10"/>
    <n v="33"/>
    <s v="Yes"/>
    <n v="0"/>
    <n v="1"/>
    <n v="0"/>
    <n v="0"/>
    <n v="1"/>
    <x v="1"/>
  </r>
  <r>
    <s v="CUST-0443"/>
    <x v="0"/>
    <x v="0"/>
    <s v="Legal"/>
    <x v="0"/>
    <n v="58"/>
    <n v="754"/>
    <x v="0"/>
    <s v="North America"/>
    <d v="2023-06-28T00:00:00"/>
    <x v="1"/>
    <s v="NULL"/>
    <x v="1"/>
    <n v="11"/>
    <n v="5"/>
    <n v="84"/>
    <s v="No"/>
    <n v="0"/>
    <n v="0"/>
    <n v="1"/>
    <n v="1"/>
    <n v="2"/>
    <x v="0"/>
  </r>
  <r>
    <s v="CUST-0444"/>
    <x v="2"/>
    <x v="0"/>
    <s v="Education"/>
    <x v="3"/>
    <n v="5"/>
    <n v="318"/>
    <x v="0"/>
    <s v="Latin America"/>
    <d v="2023-10-24T00:00:00"/>
    <x v="1"/>
    <s v="NULL"/>
    <x v="1"/>
    <n v="9"/>
    <n v="9"/>
    <n v="59"/>
    <s v="Yes"/>
    <n v="0"/>
    <n v="0"/>
    <n v="0"/>
    <n v="0"/>
    <n v="0"/>
    <x v="2"/>
  </r>
  <r>
    <s v="CUST-0445"/>
    <x v="1"/>
    <x v="0"/>
    <s v="Real Estate"/>
    <x v="1"/>
    <n v="254"/>
    <n v="1130"/>
    <x v="3"/>
    <s v="North America"/>
    <d v="2025-05-02T00:00:00"/>
    <x v="1"/>
    <s v="NULL"/>
    <x v="1"/>
    <n v="2"/>
    <n v="7"/>
    <n v="42"/>
    <s v="No"/>
    <n v="0"/>
    <n v="1"/>
    <n v="0"/>
    <n v="0"/>
    <n v="1"/>
    <x v="1"/>
  </r>
  <r>
    <s v="CUST-0446"/>
    <x v="2"/>
    <x v="0"/>
    <s v="Technology"/>
    <x v="0"/>
    <n v="30"/>
    <n v="1065"/>
    <x v="4"/>
    <s v="Europe"/>
    <d v="2023-05-26T00:00:00"/>
    <x v="0"/>
    <s v="2024-03-13"/>
    <x v="0"/>
    <n v="10"/>
    <n v="3"/>
    <n v="44"/>
    <s v="No"/>
    <n v="1"/>
    <n v="1"/>
    <n v="1"/>
    <n v="0"/>
    <n v="2"/>
    <x v="0"/>
  </r>
  <r>
    <s v="CUST-0447"/>
    <x v="1"/>
    <x v="0"/>
    <s v="Technology"/>
    <x v="3"/>
    <n v="5"/>
    <n v="46"/>
    <x v="1"/>
    <s v="Asia Pacific"/>
    <d v="2023-10-17T00:00:00"/>
    <x v="1"/>
    <s v="NULL"/>
    <x v="1"/>
    <n v="0"/>
    <n v="9"/>
    <n v="46"/>
    <s v="No"/>
    <n v="0"/>
    <n v="1"/>
    <n v="0"/>
    <n v="0"/>
    <n v="1"/>
    <x v="1"/>
  </r>
  <r>
    <s v="CUST-0448"/>
    <x v="2"/>
    <x v="0"/>
    <s v="Education"/>
    <x v="2"/>
    <n v="31"/>
    <n v="1095"/>
    <x v="4"/>
    <s v="North America"/>
    <d v="2025-01-01T00:00:00"/>
    <x v="1"/>
    <s v="NULL"/>
    <x v="1"/>
    <n v="1"/>
    <n v="9"/>
    <n v="69"/>
    <s v="No"/>
    <n v="0"/>
    <n v="0"/>
    <n v="0"/>
    <n v="0"/>
    <n v="0"/>
    <x v="2"/>
  </r>
  <r>
    <s v="CUST-0449"/>
    <x v="2"/>
    <x v="0"/>
    <s v="Healthcare"/>
    <x v="1"/>
    <n v="71"/>
    <n v="2289"/>
    <x v="4"/>
    <s v="Europe"/>
    <d v="2024-02-12T00:00:00"/>
    <x v="0"/>
    <s v="2024-03-09"/>
    <x v="6"/>
    <n v="7"/>
    <n v="2"/>
    <n v="24"/>
    <s v="No"/>
    <n v="1"/>
    <n v="1"/>
    <n v="1"/>
    <n v="0"/>
    <n v="2"/>
    <x v="0"/>
  </r>
  <r>
    <s v="CUST-0450"/>
    <x v="0"/>
    <x v="1"/>
    <s v="Retail"/>
    <x v="2"/>
    <n v="8"/>
    <n v="138"/>
    <x v="2"/>
    <s v="North America"/>
    <d v="2025-12-28T00:00:00"/>
    <x v="1"/>
    <s v="NULL"/>
    <x v="1"/>
    <n v="0"/>
    <n v="8"/>
    <n v="38"/>
    <s v="No"/>
    <n v="0"/>
    <n v="1"/>
    <n v="0"/>
    <n v="0"/>
    <n v="1"/>
    <x v="1"/>
  </r>
  <r>
    <s v="CUST-0451"/>
    <x v="2"/>
    <x v="0"/>
    <s v="Legal"/>
    <x v="2"/>
    <n v="27"/>
    <n v="975"/>
    <x v="2"/>
    <s v="North America"/>
    <d v="2023-03-01T00:00:00"/>
    <x v="1"/>
    <s v="NULL"/>
    <x v="1"/>
    <n v="3"/>
    <n v="4"/>
    <n v="89"/>
    <s v="No"/>
    <n v="0"/>
    <n v="0"/>
    <n v="1"/>
    <n v="0"/>
    <n v="1"/>
    <x v="1"/>
  </r>
  <r>
    <s v="CUST-0452"/>
    <x v="0"/>
    <x v="0"/>
    <s v="Technology"/>
    <x v="2"/>
    <n v="12"/>
    <n v="209"/>
    <x v="4"/>
    <s v="North America"/>
    <d v="2025-06-13T00:00:00"/>
    <x v="1"/>
    <s v="NULL"/>
    <x v="1"/>
    <n v="2"/>
    <n v="7"/>
    <n v="82"/>
    <s v="No"/>
    <n v="0"/>
    <n v="0"/>
    <n v="0"/>
    <n v="0"/>
    <n v="0"/>
    <x v="2"/>
  </r>
  <r>
    <s v="CUST-0453"/>
    <x v="1"/>
    <x v="0"/>
    <s v="Retail"/>
    <x v="3"/>
    <n v="1"/>
    <n v="29"/>
    <x v="1"/>
    <s v="Latin America"/>
    <d v="2023-09-24T00:00:00"/>
    <x v="0"/>
    <s v="2023-10-21"/>
    <x v="5"/>
    <n v="2"/>
    <n v="1"/>
    <n v="27"/>
    <s v="No"/>
    <n v="1"/>
    <n v="1"/>
    <n v="1"/>
    <n v="0"/>
    <n v="2"/>
    <x v="0"/>
  </r>
  <r>
    <s v="CUST-0454"/>
    <x v="1"/>
    <x v="0"/>
    <s v="Media"/>
    <x v="3"/>
    <n v="1"/>
    <n v="29"/>
    <x v="4"/>
    <s v="Europe"/>
    <d v="2025-07-09T00:00:00"/>
    <x v="0"/>
    <s v="2025-11-27"/>
    <x v="4"/>
    <n v="12"/>
    <n v="3"/>
    <n v="49"/>
    <s v="No"/>
    <n v="1"/>
    <n v="1"/>
    <n v="1"/>
    <n v="1"/>
    <n v="3"/>
    <x v="0"/>
  </r>
  <r>
    <s v="CUST-0455"/>
    <x v="1"/>
    <x v="0"/>
    <s v="Healthcare"/>
    <x v="2"/>
    <n v="8"/>
    <n v="59"/>
    <x v="0"/>
    <s v="Europe"/>
    <d v="2025-08-31T00:00:00"/>
    <x v="1"/>
    <s v="NULL"/>
    <x v="1"/>
    <n v="4"/>
    <n v="7"/>
    <n v="34"/>
    <s v="No"/>
    <n v="0"/>
    <n v="1"/>
    <n v="0"/>
    <n v="0"/>
    <n v="1"/>
    <x v="1"/>
  </r>
  <r>
    <s v="CUST-0456"/>
    <x v="0"/>
    <x v="1"/>
    <s v="Education"/>
    <x v="3"/>
    <n v="4"/>
    <n v="97"/>
    <x v="1"/>
    <s v="North America"/>
    <d v="2023-05-17T00:00:00"/>
    <x v="1"/>
    <s v="NULL"/>
    <x v="1"/>
    <n v="6"/>
    <n v="8"/>
    <n v="53"/>
    <s v="No"/>
    <n v="0"/>
    <n v="0"/>
    <n v="0"/>
    <n v="0"/>
    <n v="0"/>
    <x v="2"/>
  </r>
  <r>
    <s v="CUST-0457"/>
    <x v="0"/>
    <x v="1"/>
    <s v="Legal"/>
    <x v="0"/>
    <n v="39"/>
    <n v="450"/>
    <x v="1"/>
    <s v="Asia Pacific"/>
    <d v="2024-03-29T00:00:00"/>
    <x v="1"/>
    <s v="NULL"/>
    <x v="1"/>
    <n v="0"/>
    <n v="5"/>
    <n v="58"/>
    <s v="No"/>
    <n v="0"/>
    <n v="0"/>
    <n v="1"/>
    <n v="0"/>
    <n v="1"/>
    <x v="1"/>
  </r>
  <r>
    <s v="CUST-0458"/>
    <x v="2"/>
    <x v="1"/>
    <s v="Manufacturing"/>
    <x v="4"/>
    <n v="73"/>
    <n v="1996"/>
    <x v="3"/>
    <s v="North America"/>
    <d v="2025-04-02T00:00:00"/>
    <x v="1"/>
    <s v="NULL"/>
    <x v="1"/>
    <n v="12"/>
    <n v="1"/>
    <n v="15"/>
    <s v="Yes"/>
    <n v="0"/>
    <n v="1"/>
    <n v="1"/>
    <n v="1"/>
    <n v="3"/>
    <x v="0"/>
  </r>
  <r>
    <s v="CUST-0459"/>
    <x v="0"/>
    <x v="0"/>
    <s v="Real Estate"/>
    <x v="2"/>
    <n v="7"/>
    <n v="150"/>
    <x v="2"/>
    <s v="North America"/>
    <d v="2022-12-20T00:00:00"/>
    <x v="0"/>
    <s v="2023-11-02"/>
    <x v="7"/>
    <n v="5"/>
    <n v="2"/>
    <n v="12"/>
    <s v="No"/>
    <n v="1"/>
    <n v="1"/>
    <n v="1"/>
    <n v="0"/>
    <n v="2"/>
    <x v="0"/>
  </r>
  <r>
    <s v="CUST-0460"/>
    <x v="2"/>
    <x v="1"/>
    <s v="Finance"/>
    <x v="2"/>
    <n v="33"/>
    <n v="981"/>
    <x v="2"/>
    <s v="Asia Pacific"/>
    <d v="2023-02-07T00:00:00"/>
    <x v="1"/>
    <s v="NULL"/>
    <x v="1"/>
    <n v="1"/>
    <n v="8"/>
    <n v="89"/>
    <s v="No"/>
    <n v="0"/>
    <n v="0"/>
    <n v="0"/>
    <n v="0"/>
    <n v="0"/>
    <x v="2"/>
  </r>
  <r>
    <s v="CUST-0461"/>
    <x v="1"/>
    <x v="0"/>
    <s v="Education"/>
    <x v="3"/>
    <n v="3"/>
    <n v="38"/>
    <x v="2"/>
    <s v="Europe"/>
    <d v="2025-01-03T00:00:00"/>
    <x v="1"/>
    <s v="NULL"/>
    <x v="1"/>
    <n v="10"/>
    <n v="7"/>
    <n v="60"/>
    <s v="No"/>
    <n v="0"/>
    <n v="0"/>
    <n v="0"/>
    <n v="0"/>
    <n v="0"/>
    <x v="2"/>
  </r>
  <r>
    <s v="CUST-0462"/>
    <x v="0"/>
    <x v="1"/>
    <s v="Education"/>
    <x v="3"/>
    <n v="5"/>
    <n v="107"/>
    <x v="1"/>
    <s v="Europe"/>
    <d v="2025-06-09T00:00:00"/>
    <x v="1"/>
    <s v="NULL"/>
    <x v="1"/>
    <n v="2"/>
    <n v="9"/>
    <n v="82"/>
    <s v="No"/>
    <n v="0"/>
    <n v="0"/>
    <n v="0"/>
    <n v="0"/>
    <n v="0"/>
    <x v="2"/>
  </r>
  <r>
    <s v="CUST-0463"/>
    <x v="0"/>
    <x v="0"/>
    <s v="Education"/>
    <x v="2"/>
    <n v="5"/>
    <n v="126"/>
    <x v="5"/>
    <s v="North America"/>
    <d v="2022-07-06T00:00:00"/>
    <x v="0"/>
    <s v="2022-10-08"/>
    <x v="6"/>
    <n v="1"/>
    <n v="2"/>
    <n v="17"/>
    <s v="No"/>
    <n v="1"/>
    <n v="1"/>
    <n v="1"/>
    <n v="0"/>
    <n v="2"/>
    <x v="0"/>
  </r>
  <r>
    <s v="CUST-0464"/>
    <x v="1"/>
    <x v="1"/>
    <s v="Real Estate"/>
    <x v="0"/>
    <n v="59"/>
    <n v="239"/>
    <x v="4"/>
    <s v="North America"/>
    <d v="2025-10-18T00:00:00"/>
    <x v="1"/>
    <s v="NULL"/>
    <x v="1"/>
    <n v="12"/>
    <n v="9"/>
    <n v="72"/>
    <s v="No"/>
    <n v="0"/>
    <n v="0"/>
    <n v="0"/>
    <n v="1"/>
    <n v="1"/>
    <x v="1"/>
  </r>
  <r>
    <s v="CUST-0465"/>
    <x v="0"/>
    <x v="0"/>
    <s v="Education"/>
    <x v="3"/>
    <n v="1"/>
    <n v="79"/>
    <x v="1"/>
    <s v="Europe"/>
    <d v="2025-12-24T00:00:00"/>
    <x v="1"/>
    <s v="NULL"/>
    <x v="1"/>
    <n v="11"/>
    <n v="5"/>
    <n v="84"/>
    <s v="No"/>
    <n v="0"/>
    <n v="0"/>
    <n v="1"/>
    <n v="1"/>
    <n v="2"/>
    <x v="0"/>
  </r>
  <r>
    <s v="CUST-0466"/>
    <x v="2"/>
    <x v="1"/>
    <s v="Finance"/>
    <x v="0"/>
    <n v="35"/>
    <n v="1032"/>
    <x v="4"/>
    <s v="Europe"/>
    <d v="2024-04-27T00:00:00"/>
    <x v="1"/>
    <s v="NULL"/>
    <x v="1"/>
    <n v="4"/>
    <n v="8"/>
    <n v="41"/>
    <s v="No"/>
    <n v="0"/>
    <n v="1"/>
    <n v="0"/>
    <n v="0"/>
    <n v="1"/>
    <x v="1"/>
  </r>
  <r>
    <s v="CUST-0467"/>
    <x v="1"/>
    <x v="1"/>
    <s v="Healthcare"/>
    <x v="4"/>
    <n v="112"/>
    <n v="435"/>
    <x v="3"/>
    <s v="Latin America"/>
    <d v="2022-10-27T00:00:00"/>
    <x v="0"/>
    <s v="2023-06-19"/>
    <x v="3"/>
    <n v="12"/>
    <n v="1"/>
    <n v="34"/>
    <s v="No"/>
    <n v="1"/>
    <n v="1"/>
    <n v="1"/>
    <n v="1"/>
    <n v="3"/>
    <x v="0"/>
  </r>
  <r>
    <s v="CUST-0468"/>
    <x v="3"/>
    <x v="1"/>
    <s v="Technology"/>
    <x v="2"/>
    <n v="10"/>
    <n v="997"/>
    <x v="3"/>
    <s v="North America"/>
    <d v="2024-05-12T00:00:00"/>
    <x v="1"/>
    <s v="NULL"/>
    <x v="1"/>
    <n v="3"/>
    <n v="1"/>
    <n v="64"/>
    <s v="No"/>
    <n v="0"/>
    <n v="0"/>
    <n v="1"/>
    <n v="0"/>
    <n v="1"/>
    <x v="1"/>
  </r>
  <r>
    <s v="CUST-0469"/>
    <x v="2"/>
    <x v="1"/>
    <s v="Media"/>
    <x v="3"/>
    <n v="3"/>
    <n v="220"/>
    <x v="4"/>
    <s v="Europe"/>
    <d v="2025-12-19T00:00:00"/>
    <x v="1"/>
    <s v="NULL"/>
    <x v="1"/>
    <n v="8"/>
    <n v="2"/>
    <n v="45"/>
    <s v="No"/>
    <n v="0"/>
    <n v="1"/>
    <n v="1"/>
    <n v="0"/>
    <n v="2"/>
    <x v="0"/>
  </r>
  <r>
    <s v="CUST-0470"/>
    <x v="0"/>
    <x v="0"/>
    <s v="Real Estate"/>
    <x v="3"/>
    <n v="5"/>
    <n v="126"/>
    <x v="1"/>
    <s v="North America"/>
    <d v="2024-10-12T00:00:00"/>
    <x v="0"/>
    <s v="2025-04-09"/>
    <x v="4"/>
    <n v="4"/>
    <n v="1"/>
    <n v="21"/>
    <s v="No"/>
    <n v="1"/>
    <n v="1"/>
    <n v="1"/>
    <n v="0"/>
    <n v="2"/>
    <x v="0"/>
  </r>
  <r>
    <s v="CUST-0471"/>
    <x v="2"/>
    <x v="1"/>
    <s v="Real Estate"/>
    <x v="0"/>
    <n v="62"/>
    <n v="1717"/>
    <x v="4"/>
    <s v="North America"/>
    <d v="2023-09-22T00:00:00"/>
    <x v="0"/>
    <s v="2025-06-03"/>
    <x v="6"/>
    <n v="10"/>
    <n v="4"/>
    <n v="28"/>
    <s v="No"/>
    <n v="1"/>
    <n v="1"/>
    <n v="1"/>
    <n v="0"/>
    <n v="2"/>
    <x v="0"/>
  </r>
  <r>
    <s v="CUST-0472"/>
    <x v="1"/>
    <x v="1"/>
    <s v="Real Estate"/>
    <x v="2"/>
    <n v="5"/>
    <n v="39"/>
    <x v="2"/>
    <s v="Asia Pacific"/>
    <d v="2022-08-31T00:00:00"/>
    <x v="0"/>
    <s v="2022-12-25"/>
    <x v="2"/>
    <n v="12"/>
    <n v="1"/>
    <n v="44"/>
    <s v="No"/>
    <n v="1"/>
    <n v="1"/>
    <n v="1"/>
    <n v="1"/>
    <n v="3"/>
    <x v="0"/>
  </r>
  <r>
    <s v="CUST-0473"/>
    <x v="1"/>
    <x v="0"/>
    <s v="Finance"/>
    <x v="0"/>
    <n v="48"/>
    <n v="233"/>
    <x v="1"/>
    <s v="North America"/>
    <d v="2025-07-04T00:00:00"/>
    <x v="1"/>
    <s v="NULL"/>
    <x v="1"/>
    <n v="0"/>
    <n v="7"/>
    <n v="40"/>
    <s v="No"/>
    <n v="0"/>
    <n v="1"/>
    <n v="0"/>
    <n v="0"/>
    <n v="1"/>
    <x v="1"/>
  </r>
  <r>
    <s v="CUST-0474"/>
    <x v="0"/>
    <x v="1"/>
    <s v="Real Estate"/>
    <x v="2"/>
    <n v="7"/>
    <n v="128"/>
    <x v="3"/>
    <s v="Europe"/>
    <d v="2022-11-15T00:00:00"/>
    <x v="0"/>
    <s v="2023-02-07"/>
    <x v="7"/>
    <n v="1"/>
    <n v="5"/>
    <n v="45"/>
    <s v="No"/>
    <n v="1"/>
    <n v="1"/>
    <n v="1"/>
    <n v="0"/>
    <n v="2"/>
    <x v="0"/>
  </r>
  <r>
    <s v="CUST-0475"/>
    <x v="0"/>
    <x v="1"/>
    <s v="Real Estate"/>
    <x v="3"/>
    <n v="1"/>
    <n v="67"/>
    <x v="4"/>
    <s v="North America"/>
    <d v="2025-12-28T00:00:00"/>
    <x v="1"/>
    <s v="NULL"/>
    <x v="1"/>
    <n v="11"/>
    <n v="6"/>
    <n v="30"/>
    <s v="No"/>
    <n v="0"/>
    <n v="1"/>
    <n v="1"/>
    <n v="1"/>
    <n v="3"/>
    <x v="0"/>
  </r>
  <r>
    <s v="CUST-0476"/>
    <x v="0"/>
    <x v="1"/>
    <s v="Real Estate"/>
    <x v="3"/>
    <n v="2"/>
    <n v="77"/>
    <x v="0"/>
    <s v="Latin America"/>
    <d v="2025-06-14T00:00:00"/>
    <x v="1"/>
    <s v="NULL"/>
    <x v="1"/>
    <n v="1"/>
    <n v="3"/>
    <n v="15"/>
    <s v="No"/>
    <n v="0"/>
    <n v="1"/>
    <n v="1"/>
    <n v="0"/>
    <n v="2"/>
    <x v="0"/>
  </r>
  <r>
    <s v="CUST-0477"/>
    <x v="0"/>
    <x v="0"/>
    <s v="Technology"/>
    <x v="0"/>
    <n v="67"/>
    <n v="861"/>
    <x v="1"/>
    <s v="Asia Pacific"/>
    <d v="2025-06-14T00:00:00"/>
    <x v="1"/>
    <s v="NULL"/>
    <x v="1"/>
    <n v="11"/>
    <n v="8"/>
    <n v="76"/>
    <s v="No"/>
    <n v="0"/>
    <n v="0"/>
    <n v="0"/>
    <n v="1"/>
    <n v="1"/>
    <x v="1"/>
  </r>
  <r>
    <s v="CUST-0478"/>
    <x v="2"/>
    <x v="0"/>
    <s v="Retail"/>
    <x v="3"/>
    <n v="3"/>
    <n v="259"/>
    <x v="4"/>
    <s v="Europe"/>
    <d v="2022-02-17T00:00:00"/>
    <x v="0"/>
    <s v="2024-06-28"/>
    <x v="2"/>
    <n v="1"/>
    <n v="1"/>
    <n v="11"/>
    <s v="No"/>
    <n v="1"/>
    <n v="1"/>
    <n v="1"/>
    <n v="0"/>
    <n v="2"/>
    <x v="0"/>
  </r>
  <r>
    <s v="CUST-0479"/>
    <x v="1"/>
    <x v="0"/>
    <s v="Healthcare"/>
    <x v="2"/>
    <n v="10"/>
    <n v="68"/>
    <x v="4"/>
    <s v="North America"/>
    <d v="2023-11-06T00:00:00"/>
    <x v="0"/>
    <s v="2025-03-21"/>
    <x v="7"/>
    <n v="2"/>
    <n v="1"/>
    <n v="21"/>
    <s v="No"/>
    <n v="1"/>
    <n v="1"/>
    <n v="1"/>
    <n v="0"/>
    <n v="2"/>
    <x v="0"/>
  </r>
  <r>
    <s v="CUST-0480"/>
    <x v="2"/>
    <x v="0"/>
    <s v="Manufacturing"/>
    <x v="2"/>
    <n v="5"/>
    <n v="318"/>
    <x v="0"/>
    <s v="Europe"/>
    <d v="2023-02-08T00:00:00"/>
    <x v="0"/>
    <s v="2023-02-16"/>
    <x v="5"/>
    <n v="8"/>
    <n v="6"/>
    <n v="34"/>
    <s v="No"/>
    <n v="1"/>
    <n v="1"/>
    <n v="1"/>
    <n v="0"/>
    <n v="2"/>
    <x v="0"/>
  </r>
  <r>
    <s v="CUST-0481"/>
    <x v="3"/>
    <x v="0"/>
    <s v="Legal"/>
    <x v="4"/>
    <n v="112"/>
    <n v="8807"/>
    <x v="0"/>
    <s v="Europe"/>
    <d v="2024-06-21T00:00:00"/>
    <x v="1"/>
    <s v="NULL"/>
    <x v="1"/>
    <n v="2"/>
    <n v="2"/>
    <n v="61"/>
    <s v="No"/>
    <n v="0"/>
    <n v="0"/>
    <n v="1"/>
    <n v="0"/>
    <n v="1"/>
    <x v="1"/>
  </r>
  <r>
    <s v="CUST-0482"/>
    <x v="0"/>
    <x v="1"/>
    <s v="Education"/>
    <x v="2"/>
    <n v="27"/>
    <n v="329"/>
    <x v="4"/>
    <s v="North America"/>
    <d v="2024-10-02T00:00:00"/>
    <x v="1"/>
    <s v="NULL"/>
    <x v="1"/>
    <n v="8"/>
    <n v="6"/>
    <n v="80"/>
    <s v="No"/>
    <n v="0"/>
    <n v="0"/>
    <n v="1"/>
    <n v="0"/>
    <n v="1"/>
    <x v="1"/>
  </r>
  <r>
    <s v="CUST-0483"/>
    <x v="1"/>
    <x v="1"/>
    <s v="Education"/>
    <x v="2"/>
    <n v="6"/>
    <n v="43"/>
    <x v="4"/>
    <s v="North America"/>
    <d v="2022-02-22T00:00:00"/>
    <x v="0"/>
    <s v="2022-08-11"/>
    <x v="5"/>
    <n v="6"/>
    <n v="1"/>
    <n v="21"/>
    <s v="No"/>
    <n v="1"/>
    <n v="1"/>
    <n v="1"/>
    <n v="0"/>
    <n v="2"/>
    <x v="0"/>
  </r>
  <r>
    <s v="CUST-0484"/>
    <x v="2"/>
    <x v="0"/>
    <s v="Legal"/>
    <x v="2"/>
    <n v="29"/>
    <n v="1035"/>
    <x v="0"/>
    <s v="Europe"/>
    <d v="2023-05-26T00:00:00"/>
    <x v="0"/>
    <s v="2023-06-18"/>
    <x v="2"/>
    <n v="7"/>
    <n v="3"/>
    <n v="32"/>
    <s v="No"/>
    <n v="1"/>
    <n v="1"/>
    <n v="1"/>
    <n v="0"/>
    <n v="2"/>
    <x v="0"/>
  </r>
  <r>
    <s v="CUST-0485"/>
    <x v="0"/>
    <x v="1"/>
    <s v="Finance"/>
    <x v="3"/>
    <n v="2"/>
    <n v="77"/>
    <x v="0"/>
    <s v="Europe"/>
    <d v="2023-09-13T00:00:00"/>
    <x v="0"/>
    <s v="2025-03-29"/>
    <x v="4"/>
    <n v="7"/>
    <n v="1"/>
    <n v="30"/>
    <s v="No"/>
    <n v="1"/>
    <n v="1"/>
    <n v="1"/>
    <n v="0"/>
    <n v="2"/>
    <x v="0"/>
  </r>
  <r>
    <s v="CUST-0486"/>
    <x v="1"/>
    <x v="0"/>
    <s v="Healthcare"/>
    <x v="0"/>
    <n v="25"/>
    <n v="133"/>
    <x v="2"/>
    <s v="Asia Pacific"/>
    <d v="2024-11-29T00:00:00"/>
    <x v="0"/>
    <s v="2025-01-28"/>
    <x v="4"/>
    <n v="10"/>
    <n v="4"/>
    <n v="29"/>
    <s v="No"/>
    <n v="1"/>
    <n v="1"/>
    <n v="1"/>
    <n v="0"/>
    <n v="2"/>
    <x v="0"/>
  </r>
  <r>
    <s v="CUST-0487"/>
    <x v="1"/>
    <x v="0"/>
    <s v="Real Estate"/>
    <x v="3"/>
    <n v="7"/>
    <n v="55"/>
    <x v="5"/>
    <s v="Europe"/>
    <d v="2024-07-12T00:00:00"/>
    <x v="0"/>
    <s v="2025-10-03"/>
    <x v="7"/>
    <n v="8"/>
    <n v="3"/>
    <n v="50"/>
    <s v="No"/>
    <n v="1"/>
    <n v="0"/>
    <n v="1"/>
    <n v="0"/>
    <n v="1"/>
    <x v="1"/>
  </r>
  <r>
    <s v="CUST-0488"/>
    <x v="2"/>
    <x v="1"/>
    <s v="Education"/>
    <x v="3"/>
    <n v="7"/>
    <n v="321"/>
    <x v="2"/>
    <s v="North America"/>
    <d v="2022-09-21T00:00:00"/>
    <x v="1"/>
    <s v="NULL"/>
    <x v="1"/>
    <n v="2"/>
    <n v="6"/>
    <n v="84"/>
    <s v="No"/>
    <n v="0"/>
    <n v="0"/>
    <n v="1"/>
    <n v="0"/>
    <n v="1"/>
    <x v="1"/>
  </r>
  <r>
    <s v="CUST-0489"/>
    <x v="0"/>
    <x v="0"/>
    <s v="Consulting"/>
    <x v="2"/>
    <n v="24"/>
    <n v="352"/>
    <x v="3"/>
    <s v="Asia Pacific"/>
    <d v="2023-07-30T00:00:00"/>
    <x v="0"/>
    <s v="2025-05-02"/>
    <x v="6"/>
    <n v="15"/>
    <n v="5"/>
    <n v="26"/>
    <s v="No"/>
    <n v="1"/>
    <n v="1"/>
    <n v="1"/>
    <n v="1"/>
    <n v="3"/>
    <x v="0"/>
  </r>
  <r>
    <s v="CUST-0490"/>
    <x v="3"/>
    <x v="0"/>
    <s v="Media"/>
    <x v="3"/>
    <n v="6"/>
    <n v="873"/>
    <x v="3"/>
    <s v="North America"/>
    <d v="2022-03-27T00:00:00"/>
    <x v="0"/>
    <s v="2025-02-22"/>
    <x v="5"/>
    <n v="11"/>
    <n v="3"/>
    <n v="19"/>
    <s v="No"/>
    <n v="1"/>
    <n v="1"/>
    <n v="1"/>
    <n v="1"/>
    <n v="3"/>
    <x v="0"/>
  </r>
  <r>
    <s v="CUST-0491"/>
    <x v="1"/>
    <x v="0"/>
    <s v="Manufacturing"/>
    <x v="4"/>
    <n v="121"/>
    <n v="551"/>
    <x v="5"/>
    <s v="Europe"/>
    <d v="2024-06-01T00:00:00"/>
    <x v="0"/>
    <s v="2025-04-06"/>
    <x v="0"/>
    <n v="2"/>
    <n v="6"/>
    <n v="23"/>
    <s v="No"/>
    <n v="1"/>
    <n v="1"/>
    <n v="1"/>
    <n v="0"/>
    <n v="2"/>
    <x v="0"/>
  </r>
  <r>
    <s v="CUST-0492"/>
    <x v="0"/>
    <x v="0"/>
    <s v="Finance"/>
    <x v="3"/>
    <n v="4"/>
    <n v="115"/>
    <x v="3"/>
    <s v="Europe"/>
    <d v="2022-12-04T00:00:00"/>
    <x v="0"/>
    <s v="2025-03-31"/>
    <x v="5"/>
    <n v="15"/>
    <n v="1"/>
    <n v="27"/>
    <s v="No"/>
    <n v="1"/>
    <n v="1"/>
    <n v="1"/>
    <n v="1"/>
    <n v="3"/>
    <x v="0"/>
  </r>
  <r>
    <s v="CUST-0493"/>
    <x v="1"/>
    <x v="1"/>
    <s v="Finance"/>
    <x v="0"/>
    <n v="73"/>
    <n v="291"/>
    <x v="0"/>
    <s v="North America"/>
    <d v="2025-10-06T00:00:00"/>
    <x v="1"/>
    <s v="NULL"/>
    <x v="1"/>
    <n v="3"/>
    <n v="7"/>
    <n v="57"/>
    <s v="No"/>
    <n v="0"/>
    <n v="0"/>
    <n v="0"/>
    <n v="0"/>
    <n v="0"/>
    <x v="2"/>
  </r>
  <r>
    <s v="CUST-0494"/>
    <x v="2"/>
    <x v="0"/>
    <s v="Retail"/>
    <x v="1"/>
    <n v="199"/>
    <n v="6109"/>
    <x v="2"/>
    <s v="North America"/>
    <d v="2022-05-30T00:00:00"/>
    <x v="0"/>
    <s v="2025-09-19"/>
    <x v="7"/>
    <n v="13"/>
    <n v="4"/>
    <n v="26"/>
    <s v="No"/>
    <n v="1"/>
    <n v="1"/>
    <n v="1"/>
    <n v="1"/>
    <n v="3"/>
    <x v="0"/>
  </r>
  <r>
    <s v="CUST-0495"/>
    <x v="2"/>
    <x v="0"/>
    <s v="Healthcare"/>
    <x v="2"/>
    <n v="21"/>
    <n v="796"/>
    <x v="4"/>
    <s v="Asia Pacific"/>
    <d v="2022-08-10T00:00:00"/>
    <x v="0"/>
    <s v="2023-12-09"/>
    <x v="6"/>
    <n v="4"/>
    <n v="1"/>
    <n v="13"/>
    <s v="No"/>
    <n v="1"/>
    <n v="1"/>
    <n v="1"/>
    <n v="0"/>
    <n v="2"/>
    <x v="0"/>
  </r>
  <r>
    <s v="CUST-0496"/>
    <x v="1"/>
    <x v="1"/>
    <s v="Finance"/>
    <x v="3"/>
    <n v="4"/>
    <n v="36"/>
    <x v="3"/>
    <s v="Europe"/>
    <d v="2023-06-27T00:00:00"/>
    <x v="0"/>
    <s v="2023-09-11"/>
    <x v="0"/>
    <n v="1"/>
    <n v="1"/>
    <n v="39"/>
    <s v="No"/>
    <n v="1"/>
    <n v="1"/>
    <n v="1"/>
    <n v="0"/>
    <n v="2"/>
    <x v="0"/>
  </r>
  <r>
    <s v="CUST-0497"/>
    <x v="3"/>
    <x v="0"/>
    <s v="Legal"/>
    <x v="3"/>
    <n v="4"/>
    <n v="724"/>
    <x v="4"/>
    <s v="North America"/>
    <d v="2024-02-03T00:00:00"/>
    <x v="1"/>
    <s v="NULL"/>
    <x v="1"/>
    <n v="0"/>
    <n v="6"/>
    <n v="47"/>
    <s v="No"/>
    <n v="0"/>
    <n v="1"/>
    <n v="1"/>
    <n v="0"/>
    <n v="2"/>
    <x v="0"/>
  </r>
  <r>
    <s v="CUST-0498"/>
    <x v="2"/>
    <x v="1"/>
    <s v="Education"/>
    <x v="2"/>
    <n v="5"/>
    <n v="271"/>
    <x v="5"/>
    <s v="Europe"/>
    <d v="2025-12-24T00:00:00"/>
    <x v="1"/>
    <s v="NULL"/>
    <x v="1"/>
    <n v="3"/>
    <n v="5"/>
    <n v="48"/>
    <s v="No"/>
    <n v="0"/>
    <n v="1"/>
    <n v="1"/>
    <n v="0"/>
    <n v="2"/>
    <x v="0"/>
  </r>
  <r>
    <s v="CUST-0499"/>
    <x v="2"/>
    <x v="0"/>
    <s v="Education"/>
    <x v="2"/>
    <n v="15"/>
    <n v="617"/>
    <x v="3"/>
    <s v="North America"/>
    <d v="2025-03-06T00:00:00"/>
    <x v="1"/>
    <s v="NULL"/>
    <x v="1"/>
    <n v="11"/>
    <n v="10"/>
    <n v="37"/>
    <s v="No"/>
    <n v="0"/>
    <n v="1"/>
    <n v="0"/>
    <n v="1"/>
    <n v="2"/>
    <x v="0"/>
  </r>
  <r>
    <s v="CUST-0500"/>
    <x v="0"/>
    <x v="0"/>
    <s v="Media"/>
    <x v="0"/>
    <n v="71"/>
    <n v="909"/>
    <x v="3"/>
    <s v="North America"/>
    <d v="2025-11-28T00:00:00"/>
    <x v="1"/>
    <s v="NULL"/>
    <x v="1"/>
    <n v="4"/>
    <n v="5"/>
    <n v="70"/>
    <s v="No"/>
    <n v="0"/>
    <n v="0"/>
    <n v="1"/>
    <n v="0"/>
    <n v="1"/>
    <x v="1"/>
  </r>
  <r>
    <s v="CUST-0501"/>
    <x v="1"/>
    <x v="1"/>
    <s v="Education"/>
    <x v="1"/>
    <n v="144"/>
    <n v="553"/>
    <x v="2"/>
    <s v="North America"/>
    <d v="2023-07-30T00:00:00"/>
    <x v="0"/>
    <s v="2024-01-28"/>
    <x v="5"/>
    <n v="6"/>
    <n v="3"/>
    <n v="45"/>
    <s v="No"/>
    <n v="1"/>
    <n v="1"/>
    <n v="1"/>
    <n v="0"/>
    <n v="2"/>
    <x v="0"/>
  </r>
  <r>
    <s v="CUST-0502"/>
    <x v="0"/>
    <x v="1"/>
    <s v="Retail"/>
    <x v="2"/>
    <n v="32"/>
    <n v="379"/>
    <x v="3"/>
    <s v="Europe"/>
    <d v="2024-10-28T00:00:00"/>
    <x v="1"/>
    <s v="NULL"/>
    <x v="1"/>
    <n v="5"/>
    <n v="9"/>
    <n v="36"/>
    <s v="No"/>
    <n v="0"/>
    <n v="1"/>
    <n v="0"/>
    <n v="0"/>
    <n v="1"/>
    <x v="1"/>
  </r>
  <r>
    <s v="CUST-0503"/>
    <x v="3"/>
    <x v="1"/>
    <s v="Real Estate"/>
    <x v="2"/>
    <n v="23"/>
    <n v="1824"/>
    <x v="0"/>
    <s v="Latin America"/>
    <d v="2025-01-20T00:00:00"/>
    <x v="1"/>
    <s v="NULL"/>
    <x v="1"/>
    <n v="10"/>
    <n v="7"/>
    <n v="16"/>
    <s v="No"/>
    <n v="0"/>
    <n v="1"/>
    <n v="0"/>
    <n v="0"/>
    <n v="1"/>
    <x v="1"/>
  </r>
  <r>
    <s v="CUST-0504"/>
    <x v="1"/>
    <x v="0"/>
    <s v="Retail"/>
    <x v="2"/>
    <n v="15"/>
    <n v="90"/>
    <x v="0"/>
    <s v="Europe"/>
    <d v="2025-04-12T00:00:00"/>
    <x v="0"/>
    <s v="2025-05-08"/>
    <x v="4"/>
    <n v="14"/>
    <n v="3"/>
    <n v="26"/>
    <s v="No"/>
    <n v="1"/>
    <n v="1"/>
    <n v="1"/>
    <n v="1"/>
    <n v="3"/>
    <x v="0"/>
  </r>
  <r>
    <s v="CUST-0505"/>
    <x v="2"/>
    <x v="0"/>
    <s v="Technology"/>
    <x v="0"/>
    <n v="49"/>
    <n v="1632"/>
    <x v="3"/>
    <s v="North America"/>
    <d v="2022-05-12T00:00:00"/>
    <x v="0"/>
    <s v="2023-08-04"/>
    <x v="4"/>
    <n v="10"/>
    <n v="6"/>
    <n v="16"/>
    <s v="No"/>
    <n v="1"/>
    <n v="1"/>
    <n v="1"/>
    <n v="0"/>
    <n v="2"/>
    <x v="0"/>
  </r>
  <r>
    <s v="CUST-0506"/>
    <x v="1"/>
    <x v="0"/>
    <s v="Technology"/>
    <x v="2"/>
    <n v="26"/>
    <n v="138"/>
    <x v="0"/>
    <s v="Latin America"/>
    <d v="2024-11-08T00:00:00"/>
    <x v="0"/>
    <s v="2025-08-25"/>
    <x v="6"/>
    <n v="12"/>
    <n v="2"/>
    <n v="26"/>
    <s v="No"/>
    <n v="1"/>
    <n v="1"/>
    <n v="1"/>
    <n v="1"/>
    <n v="3"/>
    <x v="0"/>
  </r>
  <r>
    <s v="CUST-0507"/>
    <x v="2"/>
    <x v="1"/>
    <s v="Manufacturing"/>
    <x v="2"/>
    <n v="35"/>
    <n v="1032"/>
    <x v="2"/>
    <s v="North America"/>
    <d v="2025-04-21T00:00:00"/>
    <x v="1"/>
    <s v="NULL"/>
    <x v="1"/>
    <n v="2"/>
    <n v="6"/>
    <n v="70"/>
    <s v="Yes"/>
    <n v="0"/>
    <n v="0"/>
    <n v="1"/>
    <n v="0"/>
    <n v="1"/>
    <x v="1"/>
  </r>
  <r>
    <s v="CUST-0508"/>
    <x v="1"/>
    <x v="1"/>
    <s v="Finance"/>
    <x v="0"/>
    <n v="54"/>
    <n v="221"/>
    <x v="3"/>
    <s v="Asia Pacific"/>
    <d v="2022-03-10T00:00:00"/>
    <x v="0"/>
    <s v="2022-11-09"/>
    <x v="5"/>
    <n v="3"/>
    <n v="2"/>
    <n v="33"/>
    <s v="No"/>
    <n v="1"/>
    <n v="1"/>
    <n v="1"/>
    <n v="0"/>
    <n v="2"/>
    <x v="0"/>
  </r>
  <r>
    <s v="CUST-0509"/>
    <x v="1"/>
    <x v="0"/>
    <s v="Education"/>
    <x v="1"/>
    <n v="56"/>
    <n v="268"/>
    <x v="3"/>
    <s v="Latin America"/>
    <d v="2023-05-12T00:00:00"/>
    <x v="0"/>
    <s v="2023-07-04"/>
    <x v="3"/>
    <n v="12"/>
    <n v="2"/>
    <n v="17"/>
    <s v="No"/>
    <n v="1"/>
    <n v="1"/>
    <n v="1"/>
    <n v="1"/>
    <n v="3"/>
    <x v="0"/>
  </r>
  <r>
    <s v="CUST-0510"/>
    <x v="2"/>
    <x v="0"/>
    <s v="Education"/>
    <x v="2"/>
    <n v="27"/>
    <n v="975"/>
    <x v="3"/>
    <s v="Asia Pacific"/>
    <d v="2024-08-26T00:00:00"/>
    <x v="0"/>
    <s v="2025-04-07"/>
    <x v="3"/>
    <n v="9"/>
    <n v="2"/>
    <n v="24"/>
    <s v="No"/>
    <n v="1"/>
    <n v="1"/>
    <n v="1"/>
    <n v="0"/>
    <n v="2"/>
    <x v="0"/>
  </r>
  <r>
    <s v="CUST-0511"/>
    <x v="0"/>
    <x v="0"/>
    <s v="Education"/>
    <x v="2"/>
    <n v="25"/>
    <n v="363"/>
    <x v="4"/>
    <s v="North America"/>
    <d v="2025-09-23T00:00:00"/>
    <x v="1"/>
    <s v="NULL"/>
    <x v="1"/>
    <n v="6"/>
    <n v="4"/>
    <n v="30"/>
    <s v="No"/>
    <n v="0"/>
    <n v="1"/>
    <n v="1"/>
    <n v="0"/>
    <n v="2"/>
    <x v="0"/>
  </r>
  <r>
    <s v="CUST-0512"/>
    <x v="1"/>
    <x v="1"/>
    <s v="Consulting"/>
    <x v="0"/>
    <n v="26"/>
    <n v="117"/>
    <x v="3"/>
    <s v="Europe"/>
    <d v="2023-01-17T00:00:00"/>
    <x v="0"/>
    <s v="2023-06-08"/>
    <x v="4"/>
    <n v="15"/>
    <n v="2"/>
    <n v="36"/>
    <s v="No"/>
    <n v="1"/>
    <n v="1"/>
    <n v="1"/>
    <n v="1"/>
    <n v="3"/>
    <x v="0"/>
  </r>
  <r>
    <s v="CUST-0513"/>
    <x v="0"/>
    <x v="1"/>
    <s v="Education"/>
    <x v="3"/>
    <n v="8"/>
    <n v="138"/>
    <x v="3"/>
    <s v="North America"/>
    <d v="2024-01-20T00:00:00"/>
    <x v="0"/>
    <s v="2024-02-01"/>
    <x v="5"/>
    <n v="6"/>
    <n v="5"/>
    <n v="13"/>
    <s v="No"/>
    <n v="1"/>
    <n v="1"/>
    <n v="1"/>
    <n v="0"/>
    <n v="2"/>
    <x v="0"/>
  </r>
  <r>
    <s v="CUST-0514"/>
    <x v="2"/>
    <x v="0"/>
    <s v="Finance"/>
    <x v="4"/>
    <n v="68"/>
    <n v="2199"/>
    <x v="4"/>
    <s v="Latin America"/>
    <d v="2024-01-27T00:00:00"/>
    <x v="0"/>
    <s v="2024-06-19"/>
    <x v="4"/>
    <n v="15"/>
    <n v="1"/>
    <n v="19"/>
    <s v="No"/>
    <n v="1"/>
    <n v="1"/>
    <n v="1"/>
    <n v="1"/>
    <n v="3"/>
    <x v="0"/>
  </r>
  <r>
    <s v="CUST-0515"/>
    <x v="3"/>
    <x v="0"/>
    <s v="Finance"/>
    <x v="3"/>
    <n v="2"/>
    <n v="574"/>
    <x v="0"/>
    <s v="North America"/>
    <d v="2022-04-01T00:00:00"/>
    <x v="1"/>
    <s v="NULL"/>
    <x v="1"/>
    <n v="7"/>
    <n v="8"/>
    <n v="28"/>
    <s v="No"/>
    <n v="0"/>
    <n v="1"/>
    <n v="0"/>
    <n v="0"/>
    <n v="1"/>
    <x v="1"/>
  </r>
  <r>
    <s v="CUST-0516"/>
    <x v="2"/>
    <x v="0"/>
    <s v="Education"/>
    <x v="0"/>
    <n v="42"/>
    <n v="1423"/>
    <x v="2"/>
    <s v="Europe"/>
    <d v="2024-11-16T00:00:00"/>
    <x v="1"/>
    <s v="NULL"/>
    <x v="1"/>
    <n v="10"/>
    <n v="2"/>
    <n v="17"/>
    <s v="No"/>
    <n v="0"/>
    <n v="1"/>
    <n v="1"/>
    <n v="0"/>
    <n v="2"/>
    <x v="0"/>
  </r>
  <r>
    <s v="CUST-0517"/>
    <x v="0"/>
    <x v="0"/>
    <s v="Healthcare"/>
    <x v="0"/>
    <n v="59"/>
    <n v="766"/>
    <x v="5"/>
    <s v="Europe"/>
    <d v="2024-04-30T00:00:00"/>
    <x v="0"/>
    <s v="2024-10-14"/>
    <x v="5"/>
    <n v="12"/>
    <n v="4"/>
    <n v="42"/>
    <s v="No"/>
    <n v="1"/>
    <n v="1"/>
    <n v="1"/>
    <n v="1"/>
    <n v="3"/>
    <x v="0"/>
  </r>
  <r>
    <s v="CUST-0518"/>
    <x v="1"/>
    <x v="1"/>
    <s v="Manufacturing"/>
    <x v="2"/>
    <n v="21"/>
    <n v="99"/>
    <x v="4"/>
    <s v="North America"/>
    <d v="2025-05-20T00:00:00"/>
    <x v="1"/>
    <s v="NULL"/>
    <x v="1"/>
    <n v="4"/>
    <n v="7"/>
    <n v="71"/>
    <s v="No"/>
    <n v="0"/>
    <n v="0"/>
    <n v="0"/>
    <n v="0"/>
    <n v="0"/>
    <x v="2"/>
  </r>
  <r>
    <s v="CUST-0519"/>
    <x v="2"/>
    <x v="1"/>
    <s v="Media"/>
    <x v="2"/>
    <n v="34"/>
    <n v="1006"/>
    <x v="4"/>
    <s v="Asia Pacific"/>
    <d v="2022-08-18T00:00:00"/>
    <x v="1"/>
    <s v="NULL"/>
    <x v="1"/>
    <n v="10"/>
    <n v="4"/>
    <n v="84"/>
    <s v="No"/>
    <n v="0"/>
    <n v="0"/>
    <n v="1"/>
    <n v="0"/>
    <n v="1"/>
    <x v="1"/>
  </r>
  <r>
    <s v="CUST-0520"/>
    <x v="0"/>
    <x v="0"/>
    <s v="Healthcare"/>
    <x v="2"/>
    <n v="31"/>
    <n v="435"/>
    <x v="4"/>
    <s v="Europe"/>
    <d v="2022-06-12T00:00:00"/>
    <x v="0"/>
    <s v="2024-04-30"/>
    <x v="3"/>
    <n v="10"/>
    <n v="4"/>
    <n v="20"/>
    <s v="No"/>
    <n v="1"/>
    <n v="1"/>
    <n v="1"/>
    <n v="0"/>
    <n v="2"/>
    <x v="0"/>
  </r>
  <r>
    <s v="CUST-0521"/>
    <x v="3"/>
    <x v="0"/>
    <s v="Finance"/>
    <x v="3"/>
    <n v="4"/>
    <n v="724"/>
    <x v="0"/>
    <s v="Asia Pacific"/>
    <d v="2024-08-01T00:00:00"/>
    <x v="0"/>
    <s v="2025-05-10"/>
    <x v="5"/>
    <n v="5"/>
    <n v="6"/>
    <n v="31"/>
    <s v="No"/>
    <n v="1"/>
    <n v="1"/>
    <n v="1"/>
    <n v="0"/>
    <n v="2"/>
    <x v="0"/>
  </r>
  <r>
    <s v="CUST-0522"/>
    <x v="3"/>
    <x v="0"/>
    <s v="Technology"/>
    <x v="3"/>
    <n v="7"/>
    <n v="948"/>
    <x v="1"/>
    <s v="Asia Pacific"/>
    <d v="2023-06-26T00:00:00"/>
    <x v="1"/>
    <s v="NULL"/>
    <x v="1"/>
    <n v="0"/>
    <n v="5"/>
    <n v="83"/>
    <s v="No"/>
    <n v="0"/>
    <n v="0"/>
    <n v="1"/>
    <n v="0"/>
    <n v="1"/>
    <x v="1"/>
  </r>
  <r>
    <s v="CUST-0523"/>
    <x v="2"/>
    <x v="0"/>
    <s v="Healthcare"/>
    <x v="3"/>
    <n v="7"/>
    <n v="378"/>
    <x v="2"/>
    <s v="Europe"/>
    <d v="2024-01-07T00:00:00"/>
    <x v="0"/>
    <s v="2025-04-26"/>
    <x v="7"/>
    <n v="0"/>
    <n v="1"/>
    <n v="36"/>
    <s v="No"/>
    <n v="1"/>
    <n v="1"/>
    <n v="1"/>
    <n v="0"/>
    <n v="2"/>
    <x v="0"/>
  </r>
  <r>
    <s v="CUST-0524"/>
    <x v="0"/>
    <x v="0"/>
    <s v="Media"/>
    <x v="0"/>
    <n v="59"/>
    <n v="766"/>
    <x v="2"/>
    <s v="North America"/>
    <d v="2022-02-07T00:00:00"/>
    <x v="1"/>
    <s v="NULL"/>
    <x v="1"/>
    <n v="2"/>
    <n v="7"/>
    <n v="51"/>
    <s v="No"/>
    <n v="0"/>
    <n v="0"/>
    <n v="0"/>
    <n v="0"/>
    <n v="0"/>
    <x v="2"/>
  </r>
  <r>
    <s v="CUST-0525"/>
    <x v="3"/>
    <x v="1"/>
    <s v="Manufacturing"/>
    <x v="3"/>
    <n v="1"/>
    <n v="424"/>
    <x v="4"/>
    <s v="Latin America"/>
    <d v="2022-08-01T00:00:00"/>
    <x v="1"/>
    <s v="NULL"/>
    <x v="1"/>
    <n v="2"/>
    <n v="1"/>
    <n v="65"/>
    <s v="No"/>
    <n v="0"/>
    <n v="0"/>
    <n v="1"/>
    <n v="0"/>
    <n v="1"/>
    <x v="1"/>
  </r>
  <r>
    <s v="CUST-0526"/>
    <x v="0"/>
    <x v="0"/>
    <s v="Real Estate"/>
    <x v="3"/>
    <n v="8"/>
    <n v="162"/>
    <x v="4"/>
    <s v="Latin America"/>
    <d v="2023-05-01T00:00:00"/>
    <x v="0"/>
    <s v="2023-06-24"/>
    <x v="4"/>
    <n v="3"/>
    <n v="1"/>
    <n v="27"/>
    <s v="No"/>
    <n v="1"/>
    <n v="1"/>
    <n v="1"/>
    <n v="0"/>
    <n v="2"/>
    <x v="0"/>
  </r>
  <r>
    <s v="CUST-0527"/>
    <x v="2"/>
    <x v="1"/>
    <s v="Media"/>
    <x v="4"/>
    <n v="50"/>
    <n v="1412"/>
    <x v="4"/>
    <s v="Europe"/>
    <d v="2025-10-13T00:00:00"/>
    <x v="1"/>
    <s v="NULL"/>
    <x v="1"/>
    <n v="12"/>
    <n v="5"/>
    <n v="91"/>
    <s v="No"/>
    <n v="0"/>
    <n v="0"/>
    <n v="1"/>
    <n v="1"/>
    <n v="2"/>
    <x v="0"/>
  </r>
  <r>
    <s v="CUST-0528"/>
    <x v="1"/>
    <x v="0"/>
    <s v="Legal"/>
    <x v="3"/>
    <n v="7"/>
    <n v="55"/>
    <x v="3"/>
    <s v="Asia Pacific"/>
    <d v="2023-12-16T00:00:00"/>
    <x v="0"/>
    <s v="2025-08-02"/>
    <x v="5"/>
    <n v="6"/>
    <n v="3"/>
    <n v="36"/>
    <s v="No"/>
    <n v="1"/>
    <n v="1"/>
    <n v="1"/>
    <n v="0"/>
    <n v="2"/>
    <x v="0"/>
  </r>
  <r>
    <s v="CUST-0529"/>
    <x v="2"/>
    <x v="1"/>
    <s v="Consulting"/>
    <x v="0"/>
    <n v="49"/>
    <n v="1387"/>
    <x v="3"/>
    <s v="Latin America"/>
    <d v="2025-02-26T00:00:00"/>
    <x v="1"/>
    <s v="NULL"/>
    <x v="1"/>
    <n v="12"/>
    <n v="9"/>
    <n v="82"/>
    <s v="No"/>
    <n v="0"/>
    <n v="0"/>
    <n v="0"/>
    <n v="1"/>
    <n v="1"/>
    <x v="1"/>
  </r>
  <r>
    <s v="CUST-0530"/>
    <x v="3"/>
    <x v="0"/>
    <s v="Legal"/>
    <x v="2"/>
    <n v="31"/>
    <n v="2745"/>
    <x v="2"/>
    <s v="Europe"/>
    <d v="2023-04-28T00:00:00"/>
    <x v="1"/>
    <s v="NULL"/>
    <x v="1"/>
    <n v="11"/>
    <n v="3"/>
    <n v="15"/>
    <s v="No"/>
    <n v="0"/>
    <n v="1"/>
    <n v="1"/>
    <n v="1"/>
    <n v="3"/>
    <x v="0"/>
  </r>
  <r>
    <s v="CUST-0531"/>
    <x v="0"/>
    <x v="0"/>
    <s v="Real Estate"/>
    <x v="2"/>
    <n v="20"/>
    <n v="304"/>
    <x v="0"/>
    <s v="North America"/>
    <d v="2023-08-12T00:00:00"/>
    <x v="1"/>
    <s v="NULL"/>
    <x v="1"/>
    <n v="10"/>
    <n v="1"/>
    <n v="76"/>
    <s v="No"/>
    <n v="0"/>
    <n v="0"/>
    <n v="1"/>
    <n v="0"/>
    <n v="1"/>
    <x v="1"/>
  </r>
  <r>
    <s v="CUST-0532"/>
    <x v="1"/>
    <x v="1"/>
    <s v="Legal"/>
    <x v="0"/>
    <n v="67"/>
    <n v="269"/>
    <x v="2"/>
    <s v="Asia Pacific"/>
    <d v="2024-08-19T00:00:00"/>
    <x v="1"/>
    <s v="NULL"/>
    <x v="1"/>
    <n v="3"/>
    <n v="6"/>
    <n v="55"/>
    <s v="No"/>
    <n v="0"/>
    <n v="0"/>
    <n v="1"/>
    <n v="0"/>
    <n v="1"/>
    <x v="1"/>
  </r>
  <r>
    <s v="CUST-0533"/>
    <x v="3"/>
    <x v="0"/>
    <s v="Healthcare"/>
    <x v="4"/>
    <n v="85"/>
    <n v="6786"/>
    <x v="1"/>
    <s v="Europe"/>
    <d v="2024-07-17T00:00:00"/>
    <x v="1"/>
    <s v="NULL"/>
    <x v="1"/>
    <n v="4"/>
    <n v="7"/>
    <n v="54"/>
    <s v="Yes"/>
    <n v="0"/>
    <n v="0"/>
    <n v="0"/>
    <n v="0"/>
    <n v="0"/>
    <x v="2"/>
  </r>
  <r>
    <s v="CUST-0534"/>
    <x v="1"/>
    <x v="0"/>
    <s v="Real Estate"/>
    <x v="3"/>
    <n v="2"/>
    <n v="33"/>
    <x v="0"/>
    <s v="Asia Pacific"/>
    <d v="2023-06-17T00:00:00"/>
    <x v="0"/>
    <s v="2023-07-27"/>
    <x v="5"/>
    <n v="13"/>
    <n v="2"/>
    <n v="17"/>
    <s v="No"/>
    <n v="1"/>
    <n v="1"/>
    <n v="1"/>
    <n v="1"/>
    <n v="3"/>
    <x v="0"/>
  </r>
  <r>
    <s v="CUST-0535"/>
    <x v="3"/>
    <x v="1"/>
    <s v="Finance"/>
    <x v="4"/>
    <n v="52"/>
    <n v="3669"/>
    <x v="3"/>
    <s v="Europe"/>
    <d v="2024-07-25T00:00:00"/>
    <x v="1"/>
    <s v="NULL"/>
    <x v="1"/>
    <n v="9"/>
    <n v="7"/>
    <n v="93"/>
    <s v="No"/>
    <n v="0"/>
    <n v="0"/>
    <n v="0"/>
    <n v="0"/>
    <n v="0"/>
    <x v="2"/>
  </r>
  <r>
    <s v="CUST-0536"/>
    <x v="1"/>
    <x v="1"/>
    <s v="Real Estate"/>
    <x v="0"/>
    <n v="58"/>
    <n v="235"/>
    <x v="5"/>
    <s v="Asia Pacific"/>
    <d v="2022-11-05T00:00:00"/>
    <x v="0"/>
    <s v="2022-11-06"/>
    <x v="5"/>
    <n v="4"/>
    <n v="5"/>
    <n v="20"/>
    <s v="No"/>
    <n v="1"/>
    <n v="1"/>
    <n v="1"/>
    <n v="0"/>
    <n v="2"/>
    <x v="0"/>
  </r>
  <r>
    <s v="CUST-0537"/>
    <x v="1"/>
    <x v="0"/>
    <s v="Legal"/>
    <x v="2"/>
    <n v="26"/>
    <n v="138"/>
    <x v="4"/>
    <s v="North America"/>
    <d v="2023-06-14T00:00:00"/>
    <x v="0"/>
    <s v="2023-06-14"/>
    <x v="0"/>
    <n v="0"/>
    <n v="3"/>
    <n v="23"/>
    <s v="No"/>
    <n v="1"/>
    <n v="1"/>
    <n v="1"/>
    <n v="0"/>
    <n v="2"/>
    <x v="0"/>
  </r>
  <r>
    <s v="CUST-0538"/>
    <x v="0"/>
    <x v="0"/>
    <s v="Real Estate"/>
    <x v="3"/>
    <n v="8"/>
    <n v="162"/>
    <x v="4"/>
    <s v="Europe"/>
    <d v="2025-05-04T00:00:00"/>
    <x v="0"/>
    <s v="2025-08-08"/>
    <x v="0"/>
    <n v="5"/>
    <n v="2"/>
    <n v="49"/>
    <s v="No"/>
    <n v="1"/>
    <n v="1"/>
    <n v="1"/>
    <n v="0"/>
    <n v="2"/>
    <x v="0"/>
  </r>
  <r>
    <s v="CUST-0539"/>
    <x v="2"/>
    <x v="1"/>
    <s v="Healthcare"/>
    <x v="0"/>
    <n v="20"/>
    <n v="651"/>
    <x v="5"/>
    <s v="North America"/>
    <d v="2024-05-25T00:00:00"/>
    <x v="1"/>
    <s v="NULL"/>
    <x v="1"/>
    <n v="8"/>
    <n v="9"/>
    <n v="90"/>
    <s v="No"/>
    <n v="0"/>
    <n v="0"/>
    <n v="0"/>
    <n v="0"/>
    <n v="0"/>
    <x v="2"/>
  </r>
  <r>
    <s v="CUST-0540"/>
    <x v="1"/>
    <x v="0"/>
    <s v="Consulting"/>
    <x v="0"/>
    <n v="68"/>
    <n v="320"/>
    <x v="4"/>
    <s v="North America"/>
    <d v="2024-09-04T00:00:00"/>
    <x v="0"/>
    <s v="2025-05-10"/>
    <x v="6"/>
    <n v="9"/>
    <n v="4"/>
    <n v="50"/>
    <s v="No"/>
    <n v="1"/>
    <n v="0"/>
    <n v="1"/>
    <n v="0"/>
    <n v="1"/>
    <x v="1"/>
  </r>
  <r>
    <s v="CUST-0541"/>
    <x v="0"/>
    <x v="0"/>
    <s v="Manufacturing"/>
    <x v="4"/>
    <n v="30"/>
    <n v="423"/>
    <x v="3"/>
    <s v="North America"/>
    <d v="2023-08-28T00:00:00"/>
    <x v="0"/>
    <s v="2024-11-10"/>
    <x v="4"/>
    <n v="8"/>
    <n v="1"/>
    <n v="50"/>
    <s v="No"/>
    <n v="1"/>
    <n v="0"/>
    <n v="1"/>
    <n v="0"/>
    <n v="1"/>
    <x v="1"/>
  </r>
  <r>
    <s v="CUST-0542"/>
    <x v="1"/>
    <x v="0"/>
    <s v="Education"/>
    <x v="2"/>
    <n v="28"/>
    <n v="146"/>
    <x v="1"/>
    <s v="North America"/>
    <d v="2025-10-24T00:00:00"/>
    <x v="1"/>
    <s v="NULL"/>
    <x v="1"/>
    <n v="7"/>
    <n v="1"/>
    <n v="91"/>
    <s v="No"/>
    <n v="0"/>
    <n v="0"/>
    <n v="1"/>
    <n v="0"/>
    <n v="1"/>
    <x v="1"/>
  </r>
  <r>
    <s v="CUST-0543"/>
    <x v="3"/>
    <x v="1"/>
    <s v="Real Estate"/>
    <x v="3"/>
    <n v="1"/>
    <n v="424"/>
    <x v="2"/>
    <s v="North America"/>
    <d v="2022-11-05T00:00:00"/>
    <x v="0"/>
    <s v="2025-05-10"/>
    <x v="6"/>
    <n v="9"/>
    <n v="3"/>
    <n v="24"/>
    <s v="No"/>
    <n v="1"/>
    <n v="1"/>
    <n v="1"/>
    <n v="0"/>
    <n v="2"/>
    <x v="0"/>
  </r>
  <r>
    <s v="CUST-0544"/>
    <x v="2"/>
    <x v="1"/>
    <s v="Real Estate"/>
    <x v="2"/>
    <n v="16"/>
    <n v="550"/>
    <x v="3"/>
    <s v="Europe"/>
    <d v="2023-12-30T00:00:00"/>
    <x v="1"/>
    <s v="NULL"/>
    <x v="1"/>
    <n v="4"/>
    <n v="3"/>
    <n v="25"/>
    <s v="No"/>
    <n v="0"/>
    <n v="1"/>
    <n v="1"/>
    <n v="0"/>
    <n v="2"/>
    <x v="0"/>
  </r>
  <r>
    <s v="CUST-0545"/>
    <x v="1"/>
    <x v="0"/>
    <s v="Technology"/>
    <x v="3"/>
    <n v="1"/>
    <n v="29"/>
    <x v="3"/>
    <s v="Europe"/>
    <d v="2022-05-04T00:00:00"/>
    <x v="0"/>
    <s v="2022-12-14"/>
    <x v="0"/>
    <n v="14"/>
    <n v="2"/>
    <n v="10"/>
    <s v="No"/>
    <n v="1"/>
    <n v="1"/>
    <n v="1"/>
    <n v="1"/>
    <n v="3"/>
    <x v="0"/>
  </r>
  <r>
    <s v="CUST-0546"/>
    <x v="0"/>
    <x v="0"/>
    <s v="Technology"/>
    <x v="2"/>
    <n v="11"/>
    <n v="198"/>
    <x v="1"/>
    <s v="Asia Pacific"/>
    <d v="2023-09-12T00:00:00"/>
    <x v="0"/>
    <s v="2024-04-25"/>
    <x v="5"/>
    <n v="12"/>
    <n v="2"/>
    <n v="10"/>
    <s v="No"/>
    <n v="1"/>
    <n v="1"/>
    <n v="1"/>
    <n v="1"/>
    <n v="3"/>
    <x v="0"/>
  </r>
  <r>
    <s v="CUST-0547"/>
    <x v="3"/>
    <x v="0"/>
    <s v="Retail"/>
    <x v="3"/>
    <n v="2"/>
    <n v="574"/>
    <x v="0"/>
    <s v="North America"/>
    <d v="2023-01-10T00:00:00"/>
    <x v="0"/>
    <s v="2025-02-18"/>
    <x v="2"/>
    <n v="10"/>
    <n v="3"/>
    <n v="22"/>
    <s v="No"/>
    <n v="1"/>
    <n v="1"/>
    <n v="1"/>
    <n v="0"/>
    <n v="2"/>
    <x v="0"/>
  </r>
  <r>
    <s v="CUST-0548"/>
    <x v="2"/>
    <x v="0"/>
    <s v="Media"/>
    <x v="2"/>
    <n v="31"/>
    <n v="1095"/>
    <x v="4"/>
    <s v="Asia Pacific"/>
    <d v="2022-11-24T00:00:00"/>
    <x v="1"/>
    <s v="NULL"/>
    <x v="1"/>
    <n v="1"/>
    <n v="6"/>
    <n v="49"/>
    <s v="No"/>
    <n v="0"/>
    <n v="1"/>
    <n v="1"/>
    <n v="0"/>
    <n v="2"/>
    <x v="0"/>
  </r>
  <r>
    <s v="CUST-0549"/>
    <x v="1"/>
    <x v="1"/>
    <s v="Legal"/>
    <x v="2"/>
    <n v="30"/>
    <n v="132"/>
    <x v="2"/>
    <s v="North America"/>
    <d v="2022-03-20T00:00:00"/>
    <x v="0"/>
    <s v="2022-04-05"/>
    <x v="5"/>
    <n v="7"/>
    <n v="1"/>
    <n v="28"/>
    <s v="No"/>
    <n v="1"/>
    <n v="1"/>
    <n v="1"/>
    <n v="0"/>
    <n v="2"/>
    <x v="0"/>
  </r>
  <r>
    <s v="CUST-0550"/>
    <x v="1"/>
    <x v="0"/>
    <s v="Technology"/>
    <x v="2"/>
    <n v="31"/>
    <n v="160"/>
    <x v="0"/>
    <s v="Asia Pacific"/>
    <d v="2024-04-25T00:00:00"/>
    <x v="0"/>
    <s v="2024-09-02"/>
    <x v="6"/>
    <n v="1"/>
    <n v="6"/>
    <n v="33"/>
    <s v="No"/>
    <n v="1"/>
    <n v="1"/>
    <n v="1"/>
    <n v="0"/>
    <n v="2"/>
    <x v="0"/>
  </r>
  <r>
    <s v="CUST-0551"/>
    <x v="0"/>
    <x v="1"/>
    <s v="Consulting"/>
    <x v="1"/>
    <n v="187"/>
    <n v="1941"/>
    <x v="4"/>
    <s v="North America"/>
    <d v="2025-10-08T00:00:00"/>
    <x v="1"/>
    <s v="NULL"/>
    <x v="1"/>
    <n v="1"/>
    <n v="3"/>
    <n v="53"/>
    <s v="No"/>
    <n v="0"/>
    <n v="0"/>
    <n v="1"/>
    <n v="0"/>
    <n v="1"/>
    <x v="1"/>
  </r>
  <r>
    <s v="CUST-0552"/>
    <x v="1"/>
    <x v="0"/>
    <s v="Education"/>
    <x v="2"/>
    <n v="9"/>
    <n v="64"/>
    <x v="1"/>
    <s v="North America"/>
    <d v="2025-03-10T00:00:00"/>
    <x v="1"/>
    <s v="NULL"/>
    <x v="1"/>
    <n v="9"/>
    <n v="3"/>
    <n v="22"/>
    <s v="No"/>
    <n v="0"/>
    <n v="1"/>
    <n v="1"/>
    <n v="0"/>
    <n v="2"/>
    <x v="0"/>
  </r>
  <r>
    <s v="CUST-0553"/>
    <x v="1"/>
    <x v="1"/>
    <s v="Technology"/>
    <x v="4"/>
    <n v="135"/>
    <n v="520"/>
    <x v="5"/>
    <s v="Asia Pacific"/>
    <d v="2024-10-01T00:00:00"/>
    <x v="1"/>
    <s v="NULL"/>
    <x v="1"/>
    <n v="10"/>
    <n v="4"/>
    <n v="86"/>
    <s v="No"/>
    <n v="0"/>
    <n v="0"/>
    <n v="1"/>
    <n v="0"/>
    <n v="1"/>
    <x v="1"/>
  </r>
  <r>
    <s v="CUST-0554"/>
    <x v="1"/>
    <x v="1"/>
    <s v="Manufacturing"/>
    <x v="0"/>
    <n v="39"/>
    <n v="165"/>
    <x v="4"/>
    <s v="North America"/>
    <d v="2022-02-17T00:00:00"/>
    <x v="0"/>
    <s v="2022-09-10"/>
    <x v="5"/>
    <n v="8"/>
    <n v="6"/>
    <n v="18"/>
    <s v="No"/>
    <n v="1"/>
    <n v="1"/>
    <n v="1"/>
    <n v="0"/>
    <n v="2"/>
    <x v="0"/>
  </r>
  <r>
    <s v="CUST-0555"/>
    <x v="2"/>
    <x v="1"/>
    <s v="Retail"/>
    <x v="2"/>
    <n v="29"/>
    <n v="880"/>
    <x v="3"/>
    <s v="North America"/>
    <d v="2022-07-28T00:00:00"/>
    <x v="1"/>
    <s v="NULL"/>
    <x v="1"/>
    <n v="2"/>
    <n v="5"/>
    <n v="71"/>
    <s v="No"/>
    <n v="0"/>
    <n v="0"/>
    <n v="1"/>
    <n v="0"/>
    <n v="1"/>
    <x v="1"/>
  </r>
  <r>
    <s v="CUST-0556"/>
    <x v="2"/>
    <x v="0"/>
    <s v="Consulting"/>
    <x v="1"/>
    <n v="182"/>
    <n v="5602"/>
    <x v="4"/>
    <s v="Latin America"/>
    <d v="2025-07-25T00:00:00"/>
    <x v="0"/>
    <s v="2025-07-28"/>
    <x v="5"/>
    <n v="4"/>
    <n v="1"/>
    <n v="21"/>
    <s v="No"/>
    <n v="1"/>
    <n v="1"/>
    <n v="1"/>
    <n v="0"/>
    <n v="2"/>
    <x v="0"/>
  </r>
  <r>
    <s v="CUST-0557"/>
    <x v="1"/>
    <x v="0"/>
    <s v="Finance"/>
    <x v="4"/>
    <n v="82"/>
    <n v="381"/>
    <x v="3"/>
    <s v="North America"/>
    <d v="2025-10-11T00:00:00"/>
    <x v="1"/>
    <s v="NULL"/>
    <x v="1"/>
    <n v="1"/>
    <n v="6"/>
    <n v="33"/>
    <s v="No"/>
    <n v="0"/>
    <n v="1"/>
    <n v="1"/>
    <n v="0"/>
    <n v="2"/>
    <x v="0"/>
  </r>
  <r>
    <s v="CUST-0558"/>
    <x v="2"/>
    <x v="0"/>
    <s v="Education"/>
    <x v="4"/>
    <n v="74"/>
    <n v="2378"/>
    <x v="0"/>
    <s v="Europe"/>
    <d v="2025-04-25T00:00:00"/>
    <x v="1"/>
    <s v="NULL"/>
    <x v="1"/>
    <n v="0"/>
    <n v="9"/>
    <n v="71"/>
    <s v="Yes"/>
    <n v="0"/>
    <n v="0"/>
    <n v="0"/>
    <n v="0"/>
    <n v="0"/>
    <x v="2"/>
  </r>
  <r>
    <s v="CUST-0559"/>
    <x v="0"/>
    <x v="1"/>
    <s v="Healthcare"/>
    <x v="2"/>
    <n v="30"/>
    <n v="359"/>
    <x v="2"/>
    <s v="North America"/>
    <d v="2022-11-27T00:00:00"/>
    <x v="0"/>
    <s v="2023-09-11"/>
    <x v="4"/>
    <n v="11"/>
    <n v="1"/>
    <n v="26"/>
    <s v="No"/>
    <n v="1"/>
    <n v="1"/>
    <n v="1"/>
    <n v="1"/>
    <n v="3"/>
    <x v="0"/>
  </r>
  <r>
    <s v="CUST-0560"/>
    <x v="1"/>
    <x v="0"/>
    <s v="Legal"/>
    <x v="2"/>
    <n v="6"/>
    <n v="51"/>
    <x v="0"/>
    <s v="Asia Pacific"/>
    <d v="2024-08-12T00:00:00"/>
    <x v="0"/>
    <s v="2025-06-24"/>
    <x v="0"/>
    <n v="9"/>
    <n v="1"/>
    <n v="45"/>
    <s v="No"/>
    <n v="1"/>
    <n v="1"/>
    <n v="1"/>
    <n v="0"/>
    <n v="2"/>
    <x v="0"/>
  </r>
  <r>
    <s v="CUST-0561"/>
    <x v="3"/>
    <x v="0"/>
    <s v="Legal"/>
    <x v="2"/>
    <n v="17"/>
    <n v="1697"/>
    <x v="0"/>
    <s v="Asia Pacific"/>
    <d v="2023-07-21T00:00:00"/>
    <x v="1"/>
    <s v="NULL"/>
    <x v="1"/>
    <n v="9"/>
    <n v="3"/>
    <n v="41"/>
    <s v="No"/>
    <n v="0"/>
    <n v="1"/>
    <n v="1"/>
    <n v="0"/>
    <n v="2"/>
    <x v="0"/>
  </r>
  <r>
    <s v="CUST-0562"/>
    <x v="2"/>
    <x v="0"/>
    <s v="Healthcare"/>
    <x v="0"/>
    <n v="30"/>
    <n v="1065"/>
    <x v="3"/>
    <s v="North America"/>
    <d v="2025-10-12T00:00:00"/>
    <x v="1"/>
    <s v="NULL"/>
    <x v="1"/>
    <n v="6"/>
    <n v="10"/>
    <n v="17"/>
    <s v="No"/>
    <n v="0"/>
    <n v="1"/>
    <n v="0"/>
    <n v="0"/>
    <n v="1"/>
    <x v="1"/>
  </r>
  <r>
    <s v="CUST-0563"/>
    <x v="1"/>
    <x v="0"/>
    <s v="Technology"/>
    <x v="3"/>
    <n v="8"/>
    <n v="59"/>
    <x v="0"/>
    <s v="Asia Pacific"/>
    <d v="2024-11-09T00:00:00"/>
    <x v="0"/>
    <s v="2025-05-14"/>
    <x v="3"/>
    <n v="3"/>
    <n v="5"/>
    <n v="27"/>
    <s v="No"/>
    <n v="1"/>
    <n v="1"/>
    <n v="1"/>
    <n v="0"/>
    <n v="2"/>
    <x v="0"/>
  </r>
  <r>
    <s v="CUST-0564"/>
    <x v="0"/>
    <x v="0"/>
    <s v="Technology"/>
    <x v="3"/>
    <n v="8"/>
    <n v="162"/>
    <x v="4"/>
    <s v="Europe"/>
    <d v="2025-03-17T00:00:00"/>
    <x v="1"/>
    <s v="NULL"/>
    <x v="1"/>
    <n v="10"/>
    <n v="10"/>
    <n v="78"/>
    <s v="No"/>
    <n v="0"/>
    <n v="0"/>
    <n v="0"/>
    <n v="0"/>
    <n v="0"/>
    <x v="2"/>
  </r>
  <r>
    <s v="CUST-0565"/>
    <x v="2"/>
    <x v="0"/>
    <s v="Manufacturing"/>
    <x v="3"/>
    <n v="6"/>
    <n v="348"/>
    <x v="3"/>
    <s v="Asia Pacific"/>
    <d v="2023-10-27T00:00:00"/>
    <x v="0"/>
    <s v="2025-11-02"/>
    <x v="0"/>
    <n v="10"/>
    <n v="1"/>
    <n v="19"/>
    <s v="No"/>
    <n v="1"/>
    <n v="1"/>
    <n v="1"/>
    <n v="0"/>
    <n v="2"/>
    <x v="0"/>
  </r>
  <r>
    <s v="CUST-0566"/>
    <x v="0"/>
    <x v="0"/>
    <s v="Real Estate"/>
    <x v="3"/>
    <n v="8"/>
    <n v="162"/>
    <x v="0"/>
    <s v="Europe"/>
    <d v="2022-08-24T00:00:00"/>
    <x v="0"/>
    <s v="2022-09-23"/>
    <x v="4"/>
    <n v="1"/>
    <n v="3"/>
    <n v="15"/>
    <s v="No"/>
    <n v="1"/>
    <n v="1"/>
    <n v="1"/>
    <n v="0"/>
    <n v="2"/>
    <x v="0"/>
  </r>
  <r>
    <s v="CUST-0567"/>
    <x v="1"/>
    <x v="1"/>
    <s v="Manufacturing"/>
    <x v="2"/>
    <n v="27"/>
    <n v="121"/>
    <x v="1"/>
    <s v="Europe"/>
    <d v="2024-06-22T00:00:00"/>
    <x v="0"/>
    <s v="2024-08-18"/>
    <x v="4"/>
    <n v="10"/>
    <n v="4"/>
    <n v="11"/>
    <s v="No"/>
    <n v="1"/>
    <n v="1"/>
    <n v="1"/>
    <n v="0"/>
    <n v="2"/>
    <x v="0"/>
  </r>
  <r>
    <s v="CUST-0568"/>
    <x v="1"/>
    <x v="1"/>
    <s v="Education"/>
    <x v="0"/>
    <n v="50"/>
    <n v="206"/>
    <x v="3"/>
    <s v="North America"/>
    <d v="2025-05-25T00:00:00"/>
    <x v="1"/>
    <s v="NULL"/>
    <x v="1"/>
    <n v="5"/>
    <n v="8"/>
    <n v="66"/>
    <s v="No"/>
    <n v="0"/>
    <n v="0"/>
    <n v="0"/>
    <n v="0"/>
    <n v="0"/>
    <x v="2"/>
  </r>
  <r>
    <s v="CUST-0569"/>
    <x v="0"/>
    <x v="0"/>
    <s v="Healthcare"/>
    <x v="2"/>
    <n v="13"/>
    <n v="221"/>
    <x v="0"/>
    <s v="Europe"/>
    <d v="2025-05-31T00:00:00"/>
    <x v="1"/>
    <s v="NULL"/>
    <x v="1"/>
    <n v="5"/>
    <n v="5"/>
    <n v="53"/>
    <s v="No"/>
    <n v="0"/>
    <n v="0"/>
    <n v="1"/>
    <n v="0"/>
    <n v="1"/>
    <x v="1"/>
  </r>
  <r>
    <s v="CUST-0570"/>
    <x v="2"/>
    <x v="1"/>
    <s v="Technology"/>
    <x v="2"/>
    <n v="23"/>
    <n v="727"/>
    <x v="0"/>
    <s v="North America"/>
    <d v="2024-05-07T00:00:00"/>
    <x v="1"/>
    <s v="NULL"/>
    <x v="1"/>
    <n v="2"/>
    <n v="5"/>
    <n v="19"/>
    <s v="No"/>
    <n v="0"/>
    <n v="1"/>
    <n v="1"/>
    <n v="0"/>
    <n v="2"/>
    <x v="0"/>
  </r>
  <r>
    <s v="CUST-0571"/>
    <x v="1"/>
    <x v="0"/>
    <s v="Legal"/>
    <x v="3"/>
    <n v="2"/>
    <n v="33"/>
    <x v="3"/>
    <s v="North America"/>
    <d v="2022-02-06T00:00:00"/>
    <x v="0"/>
    <s v="2022-02-14"/>
    <x v="3"/>
    <n v="15"/>
    <n v="1"/>
    <n v="15"/>
    <s v="No"/>
    <n v="1"/>
    <n v="1"/>
    <n v="1"/>
    <n v="1"/>
    <n v="3"/>
    <x v="0"/>
  </r>
  <r>
    <s v="CUST-0572"/>
    <x v="1"/>
    <x v="0"/>
    <s v="Manufacturing"/>
    <x v="3"/>
    <n v="3"/>
    <n v="38"/>
    <x v="5"/>
    <s v="Asia Pacific"/>
    <d v="2022-11-08T00:00:00"/>
    <x v="0"/>
    <s v="2023-08-16"/>
    <x v="3"/>
    <n v="6"/>
    <n v="5"/>
    <n v="33"/>
    <s v="No"/>
    <n v="1"/>
    <n v="1"/>
    <n v="1"/>
    <n v="0"/>
    <n v="2"/>
    <x v="0"/>
  </r>
  <r>
    <s v="CUST-0573"/>
    <x v="0"/>
    <x v="1"/>
    <s v="Consulting"/>
    <x v="0"/>
    <n v="34"/>
    <n v="400"/>
    <x v="2"/>
    <s v="Asia Pacific"/>
    <d v="2022-08-16T00:00:00"/>
    <x v="1"/>
    <s v="NULL"/>
    <x v="1"/>
    <n v="6"/>
    <n v="5"/>
    <n v="39"/>
    <s v="No"/>
    <n v="0"/>
    <n v="1"/>
    <n v="1"/>
    <n v="0"/>
    <n v="2"/>
    <x v="0"/>
  </r>
  <r>
    <s v="CUST-0574"/>
    <x v="3"/>
    <x v="0"/>
    <s v="Education"/>
    <x v="0"/>
    <n v="78"/>
    <n v="6262"/>
    <x v="4"/>
    <s v="North America"/>
    <d v="2023-10-05T00:00:00"/>
    <x v="1"/>
    <s v="NULL"/>
    <x v="1"/>
    <n v="1"/>
    <n v="9"/>
    <n v="50"/>
    <s v="Yes"/>
    <n v="0"/>
    <n v="0"/>
    <n v="0"/>
    <n v="0"/>
    <n v="0"/>
    <x v="2"/>
  </r>
  <r>
    <s v="CUST-0575"/>
    <x v="2"/>
    <x v="1"/>
    <s v="Consulting"/>
    <x v="0"/>
    <n v="38"/>
    <n v="1108"/>
    <x v="3"/>
    <s v="North America"/>
    <d v="2025-11-09T00:00:00"/>
    <x v="1"/>
    <s v="NULL"/>
    <x v="1"/>
    <n v="11"/>
    <n v="8"/>
    <n v="26"/>
    <s v="No"/>
    <n v="0"/>
    <n v="1"/>
    <n v="0"/>
    <n v="1"/>
    <n v="2"/>
    <x v="0"/>
  </r>
  <r>
    <s v="CUST-0576"/>
    <x v="1"/>
    <x v="1"/>
    <s v="Manufacturing"/>
    <x v="3"/>
    <n v="4"/>
    <n v="36"/>
    <x v="2"/>
    <s v="North America"/>
    <d v="2024-05-26T00:00:00"/>
    <x v="0"/>
    <s v="2024-06-14"/>
    <x v="0"/>
    <n v="1"/>
    <n v="5"/>
    <n v="35"/>
    <s v="No"/>
    <n v="1"/>
    <n v="1"/>
    <n v="1"/>
    <n v="0"/>
    <n v="2"/>
    <x v="0"/>
  </r>
  <r>
    <s v="CUST-0577"/>
    <x v="1"/>
    <x v="1"/>
    <s v="Finance"/>
    <x v="4"/>
    <n v="123"/>
    <n v="476"/>
    <x v="4"/>
    <s v="North America"/>
    <d v="2022-08-18T00:00:00"/>
    <x v="0"/>
    <s v="2023-08-30"/>
    <x v="0"/>
    <n v="5"/>
    <n v="3"/>
    <n v="22"/>
    <s v="No"/>
    <n v="1"/>
    <n v="1"/>
    <n v="1"/>
    <n v="0"/>
    <n v="2"/>
    <x v="0"/>
  </r>
  <r>
    <s v="CUST-0578"/>
    <x v="0"/>
    <x v="0"/>
    <s v="Education"/>
    <x v="1"/>
    <n v="74"/>
    <n v="944"/>
    <x v="0"/>
    <s v="North America"/>
    <d v="2024-03-08T00:00:00"/>
    <x v="0"/>
    <s v="2025-10-26"/>
    <x v="7"/>
    <n v="9"/>
    <n v="3"/>
    <n v="38"/>
    <s v="No"/>
    <n v="1"/>
    <n v="1"/>
    <n v="1"/>
    <n v="0"/>
    <n v="2"/>
    <x v="0"/>
  </r>
  <r>
    <s v="CUST-0579"/>
    <x v="0"/>
    <x v="0"/>
    <s v="Finance"/>
    <x v="2"/>
    <n v="9"/>
    <n v="174"/>
    <x v="1"/>
    <s v="North America"/>
    <d v="2025-09-22T00:00:00"/>
    <x v="1"/>
    <s v="NULL"/>
    <x v="1"/>
    <n v="8"/>
    <n v="8"/>
    <n v="74"/>
    <s v="No"/>
    <n v="0"/>
    <n v="0"/>
    <n v="0"/>
    <n v="0"/>
    <n v="0"/>
    <x v="2"/>
  </r>
  <r>
    <s v="CUST-0580"/>
    <x v="0"/>
    <x v="0"/>
    <s v="Education"/>
    <x v="4"/>
    <n v="33"/>
    <n v="458"/>
    <x v="3"/>
    <s v="North America"/>
    <d v="2024-03-20T00:00:00"/>
    <x v="0"/>
    <s v="2024-09-30"/>
    <x v="0"/>
    <n v="13"/>
    <n v="2"/>
    <n v="39"/>
    <s v="No"/>
    <n v="1"/>
    <n v="1"/>
    <n v="1"/>
    <n v="1"/>
    <n v="3"/>
    <x v="0"/>
  </r>
  <r>
    <s v="CUST-0581"/>
    <x v="2"/>
    <x v="0"/>
    <s v="Technology"/>
    <x v="4"/>
    <n v="105"/>
    <n v="3303"/>
    <x v="1"/>
    <s v="Asia Pacific"/>
    <d v="2024-11-10T00:00:00"/>
    <x v="1"/>
    <s v="NULL"/>
    <x v="1"/>
    <n v="0"/>
    <n v="8"/>
    <n v="75"/>
    <s v="Yes"/>
    <n v="0"/>
    <n v="0"/>
    <n v="0"/>
    <n v="0"/>
    <n v="0"/>
    <x v="2"/>
  </r>
  <r>
    <s v="CUST-0582"/>
    <x v="0"/>
    <x v="0"/>
    <s v="Consulting"/>
    <x v="2"/>
    <n v="35"/>
    <n v="482"/>
    <x v="2"/>
    <s v="North America"/>
    <d v="2023-11-19T00:00:00"/>
    <x v="0"/>
    <s v="2025-07-16"/>
    <x v="2"/>
    <n v="0"/>
    <n v="2"/>
    <n v="32"/>
    <s v="No"/>
    <n v="1"/>
    <n v="1"/>
    <n v="1"/>
    <n v="0"/>
    <n v="2"/>
    <x v="0"/>
  </r>
  <r>
    <s v="CUST-0583"/>
    <x v="0"/>
    <x v="0"/>
    <s v="Finance"/>
    <x v="3"/>
    <n v="4"/>
    <n v="115"/>
    <x v="5"/>
    <s v="North America"/>
    <d v="2025-06-17T00:00:00"/>
    <x v="0"/>
    <s v="2025-06-19"/>
    <x v="0"/>
    <n v="3"/>
    <n v="5"/>
    <n v="50"/>
    <s v="No"/>
    <n v="1"/>
    <n v="0"/>
    <n v="1"/>
    <n v="0"/>
    <n v="1"/>
    <x v="1"/>
  </r>
  <r>
    <s v="CUST-0584"/>
    <x v="2"/>
    <x v="0"/>
    <s v="Media"/>
    <x v="2"/>
    <n v="18"/>
    <n v="706"/>
    <x v="0"/>
    <s v="North America"/>
    <d v="2025-10-26T00:00:00"/>
    <x v="1"/>
    <s v="NULL"/>
    <x v="1"/>
    <n v="0"/>
    <n v="1"/>
    <n v="37"/>
    <s v="No"/>
    <n v="0"/>
    <n v="1"/>
    <n v="1"/>
    <n v="0"/>
    <n v="2"/>
    <x v="0"/>
  </r>
  <r>
    <s v="CUST-0585"/>
    <x v="2"/>
    <x v="0"/>
    <s v="Technology"/>
    <x v="2"/>
    <n v="5"/>
    <n v="318"/>
    <x v="1"/>
    <s v="North America"/>
    <d v="2023-11-16T00:00:00"/>
    <x v="1"/>
    <s v="NULL"/>
    <x v="1"/>
    <n v="0"/>
    <n v="4"/>
    <n v="77"/>
    <s v="Yes"/>
    <n v="0"/>
    <n v="0"/>
    <n v="1"/>
    <n v="0"/>
    <n v="1"/>
    <x v="1"/>
  </r>
  <r>
    <s v="CUST-0586"/>
    <x v="1"/>
    <x v="0"/>
    <s v="Healthcare"/>
    <x v="4"/>
    <n v="116"/>
    <n v="529"/>
    <x v="4"/>
    <s v="North America"/>
    <d v="2025-10-11T00:00:00"/>
    <x v="1"/>
    <s v="NULL"/>
    <x v="1"/>
    <n v="6"/>
    <n v="3"/>
    <n v="68"/>
    <s v="No"/>
    <n v="0"/>
    <n v="0"/>
    <n v="1"/>
    <n v="0"/>
    <n v="1"/>
    <x v="1"/>
  </r>
  <r>
    <s v="CUST-0587"/>
    <x v="2"/>
    <x v="0"/>
    <s v="Technology"/>
    <x v="3"/>
    <n v="1"/>
    <n v="199"/>
    <x v="3"/>
    <s v="Latin America"/>
    <d v="2022-09-04T00:00:00"/>
    <x v="1"/>
    <s v="NULL"/>
    <x v="1"/>
    <n v="2"/>
    <n v="6"/>
    <n v="84"/>
    <s v="Yes"/>
    <n v="0"/>
    <n v="0"/>
    <n v="1"/>
    <n v="0"/>
    <n v="1"/>
    <x v="1"/>
  </r>
  <r>
    <s v="CUST-0588"/>
    <x v="2"/>
    <x v="0"/>
    <s v="Retail"/>
    <x v="2"/>
    <n v="33"/>
    <n v="1154"/>
    <x v="0"/>
    <s v="Latin America"/>
    <d v="2023-01-17T00:00:00"/>
    <x v="0"/>
    <s v="2025-07-19"/>
    <x v="3"/>
    <n v="1"/>
    <n v="3"/>
    <n v="37"/>
    <s v="No"/>
    <n v="1"/>
    <n v="1"/>
    <n v="1"/>
    <n v="0"/>
    <n v="2"/>
    <x v="0"/>
  </r>
  <r>
    <s v="CUST-0589"/>
    <x v="1"/>
    <x v="1"/>
    <s v="Healthcare"/>
    <x v="3"/>
    <n v="7"/>
    <n v="47"/>
    <x v="3"/>
    <s v="Latin America"/>
    <d v="2023-11-21T00:00:00"/>
    <x v="0"/>
    <s v="2024-07-08"/>
    <x v="4"/>
    <n v="11"/>
    <n v="1"/>
    <n v="18"/>
    <s v="No"/>
    <n v="1"/>
    <n v="1"/>
    <n v="1"/>
    <n v="1"/>
    <n v="3"/>
    <x v="0"/>
  </r>
  <r>
    <s v="CUST-0590"/>
    <x v="1"/>
    <x v="0"/>
    <s v="Consulting"/>
    <x v="2"/>
    <n v="21"/>
    <n v="116"/>
    <x v="0"/>
    <s v="Latin America"/>
    <d v="2023-09-20T00:00:00"/>
    <x v="0"/>
    <s v="2023-11-21"/>
    <x v="6"/>
    <n v="11"/>
    <n v="3"/>
    <n v="16"/>
    <s v="No"/>
    <n v="1"/>
    <n v="1"/>
    <n v="1"/>
    <n v="1"/>
    <n v="3"/>
    <x v="0"/>
  </r>
  <r>
    <s v="CUST-0591"/>
    <x v="2"/>
    <x v="0"/>
    <s v="Technology"/>
    <x v="2"/>
    <n v="6"/>
    <n v="348"/>
    <x v="0"/>
    <s v="North America"/>
    <d v="2023-11-22T00:00:00"/>
    <x v="1"/>
    <s v="NULL"/>
    <x v="1"/>
    <n v="1"/>
    <n v="2"/>
    <n v="27"/>
    <s v="Yes"/>
    <n v="0"/>
    <n v="1"/>
    <n v="1"/>
    <n v="0"/>
    <n v="2"/>
    <x v="0"/>
  </r>
  <r>
    <s v="CUST-0592"/>
    <x v="0"/>
    <x v="0"/>
    <s v="Media"/>
    <x v="2"/>
    <n v="6"/>
    <n v="138"/>
    <x v="2"/>
    <s v="Europe"/>
    <d v="2022-10-02T00:00:00"/>
    <x v="0"/>
    <s v="2024-02-13"/>
    <x v="2"/>
    <n v="5"/>
    <n v="3"/>
    <n v="11"/>
    <s v="No"/>
    <n v="1"/>
    <n v="1"/>
    <n v="1"/>
    <n v="0"/>
    <n v="2"/>
    <x v="0"/>
  </r>
  <r>
    <s v="CUST-0593"/>
    <x v="2"/>
    <x v="0"/>
    <s v="Real Estate"/>
    <x v="0"/>
    <n v="47"/>
    <n v="1572"/>
    <x v="0"/>
    <s v="North America"/>
    <d v="2023-02-07T00:00:00"/>
    <x v="1"/>
    <s v="NULL"/>
    <x v="1"/>
    <n v="1"/>
    <n v="9"/>
    <n v="27"/>
    <s v="No"/>
    <n v="0"/>
    <n v="1"/>
    <n v="0"/>
    <n v="0"/>
    <n v="1"/>
    <x v="1"/>
  </r>
  <r>
    <s v="CUST-0594"/>
    <x v="2"/>
    <x v="1"/>
    <s v="Legal"/>
    <x v="0"/>
    <n v="76"/>
    <n v="2072"/>
    <x v="0"/>
    <s v="Asia Pacific"/>
    <d v="2022-12-14T00:00:00"/>
    <x v="0"/>
    <s v="2023-04-10"/>
    <x v="0"/>
    <n v="4"/>
    <n v="2"/>
    <n v="35"/>
    <s v="No"/>
    <n v="1"/>
    <n v="1"/>
    <n v="1"/>
    <n v="0"/>
    <n v="2"/>
    <x v="0"/>
  </r>
  <r>
    <s v="CUST-0595"/>
    <x v="2"/>
    <x v="0"/>
    <s v="Manufacturing"/>
    <x v="2"/>
    <n v="11"/>
    <n v="498"/>
    <x v="0"/>
    <s v="Europe"/>
    <d v="2023-04-11T00:00:00"/>
    <x v="0"/>
    <s v="2024-11-14"/>
    <x v="7"/>
    <n v="3"/>
    <n v="3"/>
    <n v="48"/>
    <s v="No"/>
    <n v="1"/>
    <n v="1"/>
    <n v="1"/>
    <n v="0"/>
    <n v="2"/>
    <x v="0"/>
  </r>
  <r>
    <s v="CUST-0596"/>
    <x v="0"/>
    <x v="1"/>
    <s v="Healthcare"/>
    <x v="2"/>
    <n v="32"/>
    <n v="379"/>
    <x v="3"/>
    <s v="North America"/>
    <d v="2024-12-05T00:00:00"/>
    <x v="1"/>
    <s v="NULL"/>
    <x v="1"/>
    <n v="3"/>
    <n v="6"/>
    <n v="65"/>
    <s v="Yes"/>
    <n v="0"/>
    <n v="0"/>
    <n v="1"/>
    <n v="0"/>
    <n v="1"/>
    <x v="1"/>
  </r>
  <r>
    <s v="CUST-0597"/>
    <x v="0"/>
    <x v="1"/>
    <s v="Technology"/>
    <x v="4"/>
    <n v="106"/>
    <n v="1125"/>
    <x v="1"/>
    <s v="Europe"/>
    <d v="2023-06-25T00:00:00"/>
    <x v="1"/>
    <s v="NULL"/>
    <x v="1"/>
    <n v="3"/>
    <n v="3"/>
    <n v="57"/>
    <s v="No"/>
    <n v="0"/>
    <n v="0"/>
    <n v="1"/>
    <n v="0"/>
    <n v="1"/>
    <x v="1"/>
  </r>
  <r>
    <s v="CUST-0598"/>
    <x v="1"/>
    <x v="0"/>
    <s v="Technology"/>
    <x v="4"/>
    <n v="84"/>
    <n v="390"/>
    <x v="0"/>
    <s v="Latin America"/>
    <d v="2023-09-05T00:00:00"/>
    <x v="1"/>
    <s v="NULL"/>
    <x v="1"/>
    <n v="3"/>
    <n v="4"/>
    <n v="67"/>
    <s v="No"/>
    <n v="0"/>
    <n v="0"/>
    <n v="1"/>
    <n v="0"/>
    <n v="1"/>
    <x v="1"/>
  </r>
  <r>
    <s v="CUST-0599"/>
    <x v="0"/>
    <x v="1"/>
    <s v="Retail"/>
    <x v="2"/>
    <n v="18"/>
    <n v="238"/>
    <x v="0"/>
    <s v="North America"/>
    <d v="2023-06-30T00:00:00"/>
    <x v="1"/>
    <s v="NULL"/>
    <x v="1"/>
    <n v="11"/>
    <n v="4"/>
    <n v="50"/>
    <s v="No"/>
    <n v="0"/>
    <n v="0"/>
    <n v="1"/>
    <n v="1"/>
    <n v="2"/>
    <x v="0"/>
  </r>
  <r>
    <s v="CUST-0600"/>
    <x v="1"/>
    <x v="0"/>
    <s v="Media"/>
    <x v="1"/>
    <n v="87"/>
    <n v="403"/>
    <x v="2"/>
    <s v="Europe"/>
    <d v="2025-11-15T00:00:00"/>
    <x v="1"/>
    <s v="NULL"/>
    <x v="1"/>
    <n v="10"/>
    <n v="10"/>
    <n v="70"/>
    <s v="No"/>
    <n v="0"/>
    <n v="0"/>
    <n v="0"/>
    <n v="0"/>
    <n v="0"/>
    <x v="2"/>
  </r>
  <r>
    <m/>
    <x v="4"/>
    <x v="2"/>
    <m/>
    <x v="5"/>
    <m/>
    <m/>
    <x v="6"/>
    <m/>
    <m/>
    <x v="2"/>
    <m/>
    <x v="8"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0"/>
    <n v="5"/>
    <n v="0"/>
    <n v="0"/>
    <n v="0"/>
    <n v="0"/>
    <n v="164.92"/>
    <x v="0"/>
    <n v="5"/>
    <n v="0"/>
    <n v="0"/>
    <n v="0"/>
  </r>
  <r>
    <n v="5"/>
    <n v="10"/>
    <n v="1"/>
    <n v="20"/>
    <n v="7333.07"/>
    <n v="1466.61"/>
    <n v="189.21"/>
    <x v="1"/>
    <n v="9"/>
    <n v="14666.099999999999"/>
    <n v="1466.61"/>
    <n v="13199.489999999998"/>
  </r>
  <r>
    <n v="14"/>
    <n v="13"/>
    <n v="0"/>
    <n v="0"/>
    <n v="12301.16"/>
    <n v="878.65"/>
    <n v="139.49"/>
    <x v="2"/>
    <n v="13"/>
    <n v="11422.449999999999"/>
    <n v="0"/>
    <n v="11422.449999999999"/>
  </r>
  <r>
    <n v="28"/>
    <n v="11"/>
    <n v="3"/>
    <n v="10.71"/>
    <n v="24798.76"/>
    <n v="885.67"/>
    <n v="259.08999999999997"/>
    <x v="3"/>
    <n v="8"/>
    <n v="9742.369999999999"/>
    <n v="2657.0099999999998"/>
    <n v="7085.3599999999988"/>
  </r>
  <r>
    <n v="35"/>
    <n v="11"/>
    <n v="1"/>
    <n v="2.86"/>
    <n v="29091.88"/>
    <n v="831.2"/>
    <n v="152.96"/>
    <x v="4"/>
    <n v="10"/>
    <n v="9143.2000000000007"/>
    <n v="831.2"/>
    <n v="8312"/>
  </r>
  <r>
    <n v="46"/>
    <n v="10"/>
    <n v="2"/>
    <n v="4.3499999999999996"/>
    <n v="38919.93"/>
    <n v="846.09"/>
    <n v="248.89"/>
    <x v="5"/>
    <n v="8"/>
    <n v="8460.9"/>
    <n v="1692.18"/>
    <n v="6768.7199999999993"/>
  </r>
  <r>
    <n v="53"/>
    <n v="8"/>
    <n v="6"/>
    <n v="11.32"/>
    <n v="45097.72"/>
    <n v="850.9"/>
    <n v="275.08"/>
    <x v="6"/>
    <n v="2"/>
    <n v="6807.2"/>
    <n v="5105.3999999999996"/>
    <n v="1701.8000000000002"/>
  </r>
  <r>
    <n v="57"/>
    <n v="18"/>
    <n v="6"/>
    <n v="10.53"/>
    <n v="54140.41"/>
    <n v="949.83"/>
    <n v="193.48"/>
    <x v="7"/>
    <n v="12"/>
    <n v="17096.940000000002"/>
    <n v="5698.9800000000005"/>
    <n v="11397.960000000003"/>
  </r>
  <r>
    <n v="67"/>
    <n v="13"/>
    <n v="5"/>
    <n v="7.46"/>
    <n v="65198"/>
    <n v="973.1"/>
    <n v="216"/>
    <x v="8"/>
    <n v="8"/>
    <n v="12650.300000000001"/>
    <n v="4865.5"/>
    <n v="7784.8000000000011"/>
  </r>
  <r>
    <n v="76"/>
    <n v="16"/>
    <n v="5"/>
    <n v="6.58"/>
    <n v="86824.16"/>
    <n v="1142.42"/>
    <n v="246.32"/>
    <x v="9"/>
    <n v="11"/>
    <n v="18278.72"/>
    <n v="5712.1"/>
    <n v="12566.62"/>
  </r>
  <r>
    <n v="87"/>
    <n v="14"/>
    <n v="5"/>
    <n v="5.75"/>
    <n v="93168.11"/>
    <n v="1070.9000000000001"/>
    <n v="130.12"/>
    <x v="10"/>
    <n v="9"/>
    <n v="14992.600000000002"/>
    <n v="5354.5"/>
    <n v="9638.1000000000022"/>
  </r>
  <r>
    <n v="95"/>
    <n v="14"/>
    <n v="2"/>
    <n v="2.11"/>
    <n v="96100.66"/>
    <n v="1011.59"/>
    <n v="160.94"/>
    <x v="11"/>
    <n v="12"/>
    <n v="14162.26"/>
    <n v="2023.18"/>
    <n v="12139.08"/>
  </r>
  <r>
    <n v="107"/>
    <n v="12"/>
    <n v="4"/>
    <n v="3.74"/>
    <n v="104773.35"/>
    <n v="979.19"/>
    <n v="258.64999999999998"/>
    <x v="12"/>
    <n v="8"/>
    <n v="11750.28"/>
    <n v="3916.76"/>
    <n v="7833.52"/>
  </r>
  <r>
    <n v="115"/>
    <n v="10"/>
    <n v="3"/>
    <n v="2.61"/>
    <n v="115539.13"/>
    <n v="1004.69"/>
    <n v="262.48"/>
    <x v="13"/>
    <n v="7"/>
    <n v="10046.900000000001"/>
    <n v="3014.07"/>
    <n v="7032.8300000000017"/>
  </r>
  <r>
    <n v="123"/>
    <n v="5"/>
    <n v="2"/>
    <n v="1.63"/>
    <n v="125258.61"/>
    <n v="1018.36"/>
    <n v="274.97000000000003"/>
    <x v="14"/>
    <n v="3"/>
    <n v="5091.8"/>
    <n v="2036.72"/>
    <n v="3055.08"/>
  </r>
  <r>
    <n v="125"/>
    <n v="14"/>
    <n v="8"/>
    <n v="6.4"/>
    <n v="129471.28"/>
    <n v="1035.77"/>
    <n v="271.47000000000003"/>
    <x v="15"/>
    <n v="6"/>
    <n v="14500.779999999999"/>
    <n v="8286.16"/>
    <n v="6214.619999999999"/>
  </r>
  <r>
    <n v="133"/>
    <n v="13"/>
    <n v="4"/>
    <n v="3.01"/>
    <n v="142401.69"/>
    <n v="1070.69"/>
    <n v="122.99"/>
    <x v="16"/>
    <n v="9"/>
    <n v="13918.970000000001"/>
    <n v="4282.76"/>
    <n v="9636.2100000000009"/>
  </r>
  <r>
    <n v="140"/>
    <n v="15"/>
    <n v="10"/>
    <n v="7.14"/>
    <n v="142966.32"/>
    <n v="1021.19"/>
    <n v="161.5"/>
    <x v="17"/>
    <n v="5"/>
    <n v="15317.85"/>
    <n v="10211.900000000001"/>
    <n v="5105.9499999999989"/>
  </r>
  <r>
    <n v="145"/>
    <n v="19"/>
    <n v="7"/>
    <n v="4.83"/>
    <n v="147630.35999999999"/>
    <n v="1018.14"/>
    <n v="279.58999999999997"/>
    <x v="18"/>
    <n v="12"/>
    <n v="19344.66"/>
    <n v="7126.98"/>
    <n v="12217.68"/>
  </r>
  <r>
    <n v="157"/>
    <n v="10"/>
    <n v="7"/>
    <n v="4.46"/>
    <n v="158920.70000000001"/>
    <n v="1012.23"/>
    <n v="131.26"/>
    <x v="19"/>
    <n v="3"/>
    <n v="10122.299999999999"/>
    <n v="7085.6100000000006"/>
    <n v="3036.6899999999987"/>
  </r>
  <r>
    <n v="160"/>
    <n v="17"/>
    <n v="7"/>
    <n v="4.38"/>
    <n v="162830.01999999999"/>
    <n v="1017.69"/>
    <n v="258.93"/>
    <x v="20"/>
    <n v="10"/>
    <n v="17300.73"/>
    <n v="7123.83"/>
    <n v="10176.9"/>
  </r>
  <r>
    <n v="170"/>
    <n v="16"/>
    <n v="5"/>
    <n v="2.94"/>
    <n v="170763.72"/>
    <n v="1004.49"/>
    <n v="240.01"/>
    <x v="21"/>
    <n v="11"/>
    <n v="16071.84"/>
    <n v="5022.45"/>
    <n v="11049.39"/>
  </r>
  <r>
    <n v="181"/>
    <n v="11"/>
    <n v="8"/>
    <n v="4.42"/>
    <n v="184058.29"/>
    <n v="1016.9"/>
    <n v="178.83"/>
    <x v="22"/>
    <n v="3"/>
    <n v="11185.9"/>
    <n v="8135.2"/>
    <n v="3050.7"/>
  </r>
  <r>
    <n v="183"/>
    <n v="9"/>
    <n v="7"/>
    <n v="3.83"/>
    <n v="189579.35"/>
    <n v="1035.95"/>
    <n v="180.21"/>
    <x v="23"/>
    <n v="2"/>
    <n v="9323.5500000000011"/>
    <n v="7251.6500000000005"/>
    <n v="2071.9000000000005"/>
  </r>
  <r>
    <n v="186"/>
    <n v="10"/>
    <n v="7"/>
    <n v="3.76"/>
    <n v="191783.54"/>
    <n v="1031.0899999999999"/>
    <n v="275.62"/>
    <x v="24"/>
    <n v="3"/>
    <n v="10310.9"/>
    <n v="7217.6299999999992"/>
    <n v="3093.2700000000004"/>
  </r>
  <r>
    <n v="188"/>
    <n v="7"/>
    <n v="8"/>
    <n v="4.26"/>
    <n v="192379.41"/>
    <n v="1023.29"/>
    <n v="142.08000000000001"/>
    <x v="25"/>
    <n v="-1"/>
    <n v="7163.03"/>
    <n v="8186.32"/>
    <n v="-1023.29"/>
  </r>
  <r>
    <n v="189"/>
    <n v="19"/>
    <n v="4"/>
    <n v="2.12"/>
    <n v="196219.33"/>
    <n v="1038.2"/>
    <n v="251.87"/>
    <x v="26"/>
    <n v="15"/>
    <n v="19725.8"/>
    <n v="4152.8"/>
    <n v="15573"/>
  </r>
  <r>
    <n v="203"/>
    <n v="11"/>
    <n v="8"/>
    <n v="3.94"/>
    <n v="200076.61"/>
    <n v="985.6"/>
    <n v="212.11"/>
    <x v="27"/>
    <n v="3"/>
    <n v="10841.6"/>
    <n v="7884.8"/>
    <n v="2956.8"/>
  </r>
  <r>
    <n v="206"/>
    <n v="14"/>
    <n v="8"/>
    <n v="3.88"/>
    <n v="217117.58"/>
    <n v="1053.97"/>
    <n v="139.55000000000001"/>
    <x v="28"/>
    <n v="6"/>
    <n v="14755.58"/>
    <n v="8431.76"/>
    <n v="6323.82"/>
  </r>
  <r>
    <n v="213"/>
    <n v="13"/>
    <n v="9"/>
    <n v="4.2300000000000004"/>
    <n v="215810.52"/>
    <n v="1013.19"/>
    <n v="241.12"/>
    <x v="29"/>
    <n v="4"/>
    <n v="13171.470000000001"/>
    <n v="9118.7100000000009"/>
    <n v="4052.76"/>
  </r>
  <r>
    <n v="216"/>
    <n v="14"/>
    <n v="8"/>
    <n v="3.7"/>
    <n v="222303.35999999999"/>
    <n v="1029.18"/>
    <n v="201.02"/>
    <x v="30"/>
    <n v="6"/>
    <n v="14408.52"/>
    <n v="8233.44"/>
    <n v="6175.08"/>
  </r>
  <r>
    <n v="223"/>
    <n v="12"/>
    <n v="7"/>
    <n v="3.14"/>
    <n v="242222.62"/>
    <n v="1086.2"/>
    <n v="128.12"/>
    <x v="31"/>
    <n v="5"/>
    <n v="13034.400000000001"/>
    <n v="7603.4000000000005"/>
    <n v="5431.0000000000009"/>
  </r>
  <r>
    <n v="226"/>
    <n v="11"/>
    <n v="7"/>
    <n v="3.1"/>
    <n v="234749.84"/>
    <n v="1038.72"/>
    <n v="125.59"/>
    <x v="32"/>
    <n v="4"/>
    <n v="11425.92"/>
    <n v="7271.04"/>
    <n v="4154.88"/>
  </r>
  <r>
    <n v="233"/>
    <n v="13"/>
    <n v="7"/>
    <n v="3"/>
    <n v="239344.73"/>
    <n v="1027.23"/>
    <n v="242.79"/>
    <x v="33"/>
    <n v="6"/>
    <n v="13353.99"/>
    <n v="7190.6100000000006"/>
    <n v="6163.3799999999992"/>
  </r>
  <r>
    <n v="238"/>
    <n v="12"/>
    <n v="9"/>
    <n v="3.78"/>
    <n v="253489.47"/>
    <n v="1065.08"/>
    <n v="234.58"/>
    <x v="34"/>
    <n v="3"/>
    <n v="12780.96"/>
    <n v="9585.7199999999993"/>
    <n v="3195.24"/>
  </r>
  <r>
    <n v="240"/>
    <n v="15"/>
    <n v="9"/>
    <n v="3.75"/>
    <n v="260856.24"/>
    <n v="1086.9000000000001"/>
    <n v="238.17"/>
    <x v="35"/>
    <n v="6"/>
    <n v="16303.500000000002"/>
    <n v="9782.1"/>
    <n v="6521.4000000000015"/>
  </r>
  <r>
    <n v="247"/>
    <n v="13"/>
    <n v="9"/>
    <n v="3.64"/>
    <n v="266142.93"/>
    <n v="1077.5"/>
    <n v="218.41"/>
    <x v="36"/>
    <n v="4"/>
    <n v="14007.5"/>
    <n v="9697.5"/>
    <n v="4310"/>
  </r>
  <r>
    <n v="251"/>
    <n v="15"/>
    <n v="8"/>
    <n v="3.19"/>
    <n v="274162.53999999998"/>
    <n v="1092.28"/>
    <n v="164.96"/>
    <x v="37"/>
    <n v="7"/>
    <n v="16384.2"/>
    <n v="8738.24"/>
    <n v="7645.9600000000009"/>
  </r>
  <r>
    <n v="257"/>
    <n v="18"/>
    <n v="7"/>
    <n v="2.72"/>
    <n v="280928.08"/>
    <n v="1093.1099999999999"/>
    <n v="138.82"/>
    <x v="38"/>
    <n v="11"/>
    <n v="19675.98"/>
    <n v="7651.7699999999995"/>
    <n v="12024.21"/>
  </r>
  <r>
    <n v="270"/>
    <n v="13"/>
    <n v="17"/>
    <n v="6.3"/>
    <n v="287791.15000000002"/>
    <n v="1065.8900000000001"/>
    <n v="144.11000000000001"/>
    <x v="39"/>
    <n v="-4"/>
    <n v="13856.570000000002"/>
    <n v="18120.13"/>
    <n v="-4263.5599999999995"/>
  </r>
  <r>
    <n v="264"/>
    <n v="12"/>
    <n v="15"/>
    <n v="5.68"/>
    <n v="287207.82"/>
    <n v="1087.9100000000001"/>
    <n v="149.54"/>
    <x v="40"/>
    <n v="-3"/>
    <n v="13054.920000000002"/>
    <n v="16318.650000000001"/>
    <n v="-3263.7299999999996"/>
  </r>
  <r>
    <n v="261"/>
    <n v="15"/>
    <n v="11"/>
    <n v="4.21"/>
    <n v="280683.13"/>
    <n v="1075.4100000000001"/>
    <n v="238.11"/>
    <x v="41"/>
    <n v="4"/>
    <n v="16131.150000000001"/>
    <n v="11829.51"/>
    <n v="4301.6400000000012"/>
  </r>
  <r>
    <n v="265"/>
    <n v="9"/>
    <n v="9"/>
    <n v="3.4"/>
    <n v="287661.73"/>
    <n v="1085.52"/>
    <n v="150.51"/>
    <x v="42"/>
    <n v="0"/>
    <n v="9769.68"/>
    <n v="9769.68"/>
    <n v="0"/>
  </r>
  <r>
    <n v="265"/>
    <n v="7"/>
    <n v="7"/>
    <n v="2.64"/>
    <n v="287743"/>
    <n v="1085.82"/>
    <n v="129.38"/>
    <x v="43"/>
    <n v="0"/>
    <n v="7600.74"/>
    <n v="7600.74"/>
    <n v="0"/>
  </r>
  <r>
    <n v="265"/>
    <n v="13"/>
    <n v="9"/>
    <n v="3.4"/>
    <n v="290824.44"/>
    <n v="1097.45"/>
    <n v="182.15"/>
    <x v="44"/>
    <n v="4"/>
    <n v="14266.85"/>
    <n v="9877.0500000000011"/>
    <n v="4389.7999999999993"/>
  </r>
  <r>
    <n v="269"/>
    <n v="18"/>
    <n v="9"/>
    <n v="3.35"/>
    <n v="280089.15000000002"/>
    <n v="1041.22"/>
    <n v="250.08"/>
    <x v="45"/>
    <n v="9"/>
    <n v="18741.96"/>
    <n v="9370.98"/>
    <n v="9370.98"/>
  </r>
  <r>
    <n v="278"/>
    <n v="11"/>
    <n v="9"/>
    <n v="3.24"/>
    <n v="285261.36"/>
    <n v="1026.1199999999999"/>
    <n v="254.4"/>
    <x v="46"/>
    <n v="2"/>
    <n v="11287.32"/>
    <n v="9235.0799999999981"/>
    <n v="2052.2400000000016"/>
  </r>
  <r>
    <n v="281"/>
    <n v="11"/>
    <n v="4"/>
    <n v="1.42"/>
    <n v="292628.61"/>
    <n v="1041.3800000000001"/>
    <n v="151.47"/>
    <x v="47"/>
    <n v="7"/>
    <n v="11455.18"/>
    <n v="4165.5200000000004"/>
    <n v="7289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7C339-DD7B-4E56-A3E5-7C127505FEC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30" firstHeaderRow="0" firstDataRow="1" firstDataCol="1" rowPageCount="2" colPageCount="1"/>
  <pivotFields count="23">
    <pivotField dataField="1"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2"/>
        <item h="1" x="1"/>
        <item h="1"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22" hier="-1"/>
  </pageFields>
  <dataFields count="2">
    <dataField name="Count of customer_id" fld="0" subtotal="count" baseField="0" baseItem="0"/>
    <dataField name="Sum of monthly_revenue" fld="6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A857C-C756-485E-BBA2-6229AD30183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7" firstHeaderRow="1" firstDataRow="1" firstDataCol="1"/>
  <pivotFields count="23">
    <pivotField showAll="0"/>
    <pivotField showAll="0"/>
    <pivotField showAll="0"/>
    <pivotField showAll="0"/>
    <pivotField axis="axisRow" showAll="0" sortType="descending">
      <items count="7">
        <item x="3"/>
        <item x="2"/>
        <item x="4"/>
        <item x="1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Average of Churn_Flag" fld="17" subtotal="average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89C3C-E8B0-49F3-9AF0-2837598C727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25:F74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total_mrr" fld="4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14C51-14EE-40F0-8BDE-4BA7B7509B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6" firstHeaderRow="1" firstDataRow="1" firstDataCol="1"/>
  <pivotFields count="23"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hurn_Rate" fld="17" subtotal="average" baseField="1" baseItem="0" numFmtId="1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17BC6-167B-45B5-AC53-DEF66848AD1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G12:H16" firstHeaderRow="1" firstDataRow="1" firstDataCol="1" rowPageCount="1" colPageCount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item="0" hier="-1"/>
  </pageFields>
  <dataFields count="1">
    <dataField name="Count of customer_id" fld="0" subtotal="count" baseField="0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ED09D-ED50-4C3C-8D5E-532BC31314F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7:Q56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monthly_churn_rate_pct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00049-672C-4A8D-AF03-9E02A0C61F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20" firstHeaderRow="1" firstDataRow="1" firstDataCol="1" rowPageCount="1" colPageCount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Row" showAll="0">
      <items count="10">
        <item x="4"/>
        <item x="5"/>
        <item x="7"/>
        <item x="6"/>
        <item x="1"/>
        <item x="2"/>
        <item x="0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10" item="1" hier="-1"/>
  </pageField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78E98-B5BE-438C-ACAA-B4F6224F672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0"/>
        <item x="4"/>
        <item x="2"/>
        <item x="3"/>
        <item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4"/>
    </i>
    <i>
      <x v="3"/>
    </i>
    <i>
      <x v="5"/>
    </i>
    <i>
      <x v="2"/>
    </i>
    <i>
      <x v="1"/>
    </i>
    <i>
      <x/>
    </i>
    <i t="grand">
      <x/>
    </i>
  </rowItems>
  <colItems count="1">
    <i/>
  </colItems>
  <dataFields count="1">
    <dataField name="Average of Churn_Flag" fld="17" subtotal="average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8E126-9F33-495E-8024-E4A5F1DC56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" firstHeaderRow="1" firstDataRow="1" firstDataCol="1"/>
  <pivotFields count="23">
    <pivotField showAll="0"/>
    <pivotField showAll="0"/>
    <pivotField axis="axisRow" showAll="0" sortType="descending">
      <items count="4">
        <item x="1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 v="1"/>
    </i>
    <i>
      <x/>
    </i>
    <i t="grand">
      <x/>
    </i>
  </rowItems>
  <colItems count="1">
    <i/>
  </colItems>
  <dataFields count="1">
    <dataField name="Average of Churn_Flag" fld="17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617B157-E6BC-4B8E-AEE7-3C40541DE03A}" autoFormatId="16" applyNumberFormats="0" applyBorderFormats="0" applyFontFormats="0" applyPatternFormats="0" applyAlignmentFormats="0" applyWidthHeightFormats="0">
  <queryTableRefresh nextId="24" unboundColumnsRight="6">
    <queryTableFields count="23">
      <queryTableField id="1" name="customer_id" tableColumnId="1"/>
      <queryTableField id="2" name="plan" tableColumnId="2"/>
      <queryTableField id="3" name="billing_cycle" tableColumnId="3"/>
      <queryTableField id="4" name="industry" tableColumnId="4"/>
      <queryTableField id="5" name="company_size" tableColumnId="5"/>
      <queryTableField id="6" name="seats" tableColumnId="6"/>
      <queryTableField id="7" name="monthly_revenue" tableColumnId="7"/>
      <queryTableField id="8" name="acquisition_channel" tableColumnId="8"/>
      <queryTableField id="9" name="region" tableColumnId="9"/>
      <queryTableField id="10" name="signup_date" tableColumnId="10"/>
      <queryTableField id="11" name="churned" tableColumnId="11"/>
      <queryTableField id="12" name="churn_date" tableColumnId="12"/>
      <queryTableField id="13" name="churn_reason" tableColumnId="13"/>
      <queryTableField id="14" name="support_tickets_12mo" tableColumnId="14"/>
      <queryTableField id="15" name="nps_score" tableColumnId="15"/>
      <queryTableField id="16" name="feature_usage_pct" tableColumnId="16"/>
      <queryTableField id="17" name="upgraded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A83BD1-CA8D-4F0D-84D1-3B6F9EC1DDE5}" autoFormatId="16" applyNumberFormats="0" applyBorderFormats="0" applyFontFormats="0" applyPatternFormats="0" applyAlignmentFormats="0" applyWidthHeightFormats="0">
  <queryTableRefresh nextId="13" unboundColumnsRight="4">
    <queryTableFields count="12">
      <queryTableField id="1" name="total_active_customers" tableColumnId="1"/>
      <queryTableField id="2" name="new_customers" tableColumnId="2"/>
      <queryTableField id="3" name="churned_customers" tableColumnId="3"/>
      <queryTableField id="4" name="monthly_churn_rate_pct" tableColumnId="4"/>
      <queryTableField id="5" name="total_mrr" tableColumnId="5"/>
      <queryTableField id="6" name="avg_revenue_per_customer" tableColumnId="6"/>
      <queryTableField id="7" name="customer_acquisition_cost" tableColumnId="7"/>
      <queryTableField id="8" name="month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C5D98-4DB2-4BC9-A281-8367605F5809}" name="tblSubscriptions" displayName="tblSubscriptions" ref="A1:W601" tableType="queryTable" totalsRowShown="0">
  <autoFilter ref="A1:W601" xr:uid="{72DC5D98-4DB2-4BC9-A281-8367605F5809}"/>
  <tableColumns count="23">
    <tableColumn id="1" xr3:uid="{BBFF3304-DC32-43A1-8BFF-F078DC352A5F}" uniqueName="1" name="customer_id" queryTableFieldId="1" dataDxfId="22"/>
    <tableColumn id="2" xr3:uid="{12506E8F-A42C-4EF4-9434-1B6BF3464610}" uniqueName="2" name="plan" queryTableFieldId="2" dataDxfId="21"/>
    <tableColumn id="3" xr3:uid="{2A3C971A-86F3-4BF3-841C-BA548FA495E7}" uniqueName="3" name="billing_cycle" queryTableFieldId="3" dataDxfId="20"/>
    <tableColumn id="4" xr3:uid="{BEFF3AAC-4874-4226-9864-D3EF6131E4F5}" uniqueName="4" name="industry" queryTableFieldId="4" dataDxfId="19"/>
    <tableColumn id="5" xr3:uid="{CA8A4274-9418-4EDB-9F64-EFEAFDC6F52B}" uniqueName="5" name="company_size" queryTableFieldId="5" dataDxfId="18"/>
    <tableColumn id="6" xr3:uid="{77653C4D-27DC-48E4-9E3A-8EB23AEDF02C}" uniqueName="6" name="seats" queryTableFieldId="6"/>
    <tableColumn id="7" xr3:uid="{B2ABC470-47C9-4AAA-85CA-1984F76A4236}" uniqueName="7" name="monthly_revenue" queryTableFieldId="7"/>
    <tableColumn id="8" xr3:uid="{26D842B8-6B90-4388-A893-E7CEACD22235}" uniqueName="8" name="acquisition_channel" queryTableFieldId="8" dataDxfId="17"/>
    <tableColumn id="9" xr3:uid="{6011D598-2BC9-4EA7-A952-2A2AEAD507FB}" uniqueName="9" name="region" queryTableFieldId="9" dataDxfId="16"/>
    <tableColumn id="10" xr3:uid="{3051C4E5-FA6B-4AB8-B6FA-9EE34144B007}" uniqueName="10" name="signup_date" queryTableFieldId="10" dataDxfId="15"/>
    <tableColumn id="11" xr3:uid="{9B2657A4-5661-4A14-B949-0F14DCCBEBF3}" uniqueName="11" name="churned" queryTableFieldId="11" dataDxfId="14"/>
    <tableColumn id="12" xr3:uid="{90DFB37A-A518-4892-909E-EBA3D8442CC5}" uniqueName="12" name="churn_date" queryTableFieldId="12" dataDxfId="13"/>
    <tableColumn id="13" xr3:uid="{1636EC54-C8BB-4D72-AA55-15BB91F3FF42}" uniqueName="13" name="churn_reason" queryTableFieldId="13" dataDxfId="12"/>
    <tableColumn id="14" xr3:uid="{FEAE2B4A-C0CD-4F5E-B840-9CE6EB2574F4}" uniqueName="14" name="support_tickets_12mo" queryTableFieldId="14"/>
    <tableColumn id="15" xr3:uid="{2776AFD1-2D41-480E-8385-6AC04D0744C9}" uniqueName="15" name="nps_score" queryTableFieldId="15"/>
    <tableColumn id="16" xr3:uid="{8D3B4862-0D45-4829-8F34-E66EF112EB61}" uniqueName="16" name="feature_usage_pct" queryTableFieldId="16"/>
    <tableColumn id="17" xr3:uid="{2BD7B705-601D-4AFF-838B-1B824BDF00DB}" uniqueName="17" name="upgraded" queryTableFieldId="17" dataDxfId="11"/>
    <tableColumn id="18" xr3:uid="{7DAA7FB8-8433-462B-B181-4E884790DAE1}" uniqueName="18" name="Churn_Flag" queryTableFieldId="18" dataDxfId="10">
      <calculatedColumnFormula>IF(tblSubscriptions[[#This Row],[churned]] = "Yes",1,0)</calculatedColumnFormula>
    </tableColumn>
    <tableColumn id="19" xr3:uid="{EEF4E861-54D2-4A31-A315-03804CD3DC09}" uniqueName="19" name="Low_Usage_Flag" queryTableFieldId="19" dataDxfId="9">
      <calculatedColumnFormula>IF(P2&lt;50,1,0)</calculatedColumnFormula>
    </tableColumn>
    <tableColumn id="20" xr3:uid="{D0A01F34-E7FF-4232-A580-B6937C0EC746}" uniqueName="20" name="Low_NPS_Flag" queryTableFieldId="20" dataDxfId="8">
      <calculatedColumnFormula>IF(O2&lt;=6,1,0)</calculatedColumnFormula>
    </tableColumn>
    <tableColumn id="21" xr3:uid="{6CA50C78-1A95-4D73-BFD2-B5E63F56AE89}" uniqueName="21" name="High_Support_Flag" queryTableFieldId="21" dataDxfId="7">
      <calculatedColumnFormula>IF(N2&gt;=11,1,0)</calculatedColumnFormula>
    </tableColumn>
    <tableColumn id="22" xr3:uid="{77FBAB27-DE88-4CF1-B8D7-3E3E89066C14}" uniqueName="22" name="Risk_Score" queryTableFieldId="22" dataDxfId="6">
      <calculatedColumnFormula>S2+T2+U2</calculatedColumnFormula>
    </tableColumn>
    <tableColumn id="23" xr3:uid="{F1293E3D-76E1-4549-8EDB-94F6B14738EB}" uniqueName="23" name="Risk_Level" queryTableFieldId="23" dataDxfId="5">
      <calculatedColumnFormula>IF(V2&gt;=2,"High Risk",IF(V2=1,"Medium Risk","Low Risk"))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53DF2-EE16-4E80-B119-9BBB745F6905}" name="tblMonthlyRevenue" displayName="tblMonthlyRevenue" ref="A1:L49" tableType="queryTable" totalsRowShown="0">
  <autoFilter ref="A1:L49" xr:uid="{12053DF2-EE16-4E80-B119-9BBB745F6905}"/>
  <tableColumns count="12">
    <tableColumn id="1" xr3:uid="{DCF2D8CC-5E81-4930-85A9-2CB4D8C5F624}" uniqueName="1" name="total_active_customers" queryTableFieldId="1"/>
    <tableColumn id="2" xr3:uid="{51834520-C71B-4735-8AAB-E9C5B8F80E66}" uniqueName="2" name="new_customers" queryTableFieldId="2"/>
    <tableColumn id="3" xr3:uid="{C8E6D8B9-E086-4700-A9DB-CB99BB20D627}" uniqueName="3" name="churned_customers" queryTableFieldId="3"/>
    <tableColumn id="4" xr3:uid="{7662976D-C450-414B-9EB1-15DEF4107972}" uniqueName="4" name="monthly_churn_rate_pct" queryTableFieldId="4"/>
    <tableColumn id="5" xr3:uid="{03C26CAA-4ACB-4B26-AC13-0624AF9F5B9A}" uniqueName="5" name="total_mrr" queryTableFieldId="5"/>
    <tableColumn id="6" xr3:uid="{0A5F5BCF-9D2F-4726-9752-2D422A17D85C}" uniqueName="6" name="avg_revenue_per_customer" queryTableFieldId="6"/>
    <tableColumn id="7" xr3:uid="{EB87E50B-9017-4B9C-AD05-3E68E68A43A6}" uniqueName="7" name="customer_acquisition_cost" queryTableFieldId="7"/>
    <tableColumn id="8" xr3:uid="{BCB12A91-99FA-49CD-A31F-B76B4C3A4FEB}" uniqueName="8" name="month" queryTableFieldId="8" dataDxfId="4"/>
    <tableColumn id="9" xr3:uid="{C28F57AE-9AF4-46A2-B699-20B912EBE640}" uniqueName="9" name="Net_Customer_Change" queryTableFieldId="9" dataDxfId="3">
      <calculatedColumnFormula>(tblMonthlyRevenue[[#This Row],[new_customers]] -tblMonthlyRevenue[[#This Row],[churned_customers]])</calculatedColumnFormula>
    </tableColumn>
    <tableColumn id="10" xr3:uid="{840B1989-F5A4-470B-8EE7-658D8BFE0212}" uniqueName="10" name="Estimated_New_MRR" queryTableFieldId="10" dataDxfId="2">
      <calculatedColumnFormula>tblMonthlyRevenue[[#This Row],[new_customers]]*tblMonthlyRevenue[[#This Row],[avg_revenue_per_customer]]</calculatedColumnFormula>
    </tableColumn>
    <tableColumn id="11" xr3:uid="{A3196445-B2B6-42E9-B36F-E53BF346AAE2}" uniqueName="11" name="Estimated_Churned_MRR" queryTableFieldId="11" dataDxfId="1">
      <calculatedColumnFormula>tblMonthlyRevenue[[#This Row],[churned_customers]]*tblMonthlyRevenue[[#This Row],[avg_revenue_per_customer]]</calculatedColumnFormula>
    </tableColumn>
    <tableColumn id="12" xr3:uid="{BFC5BB8C-E993-49E7-805C-8AF0F3E5B6D6}" uniqueName="12" name="Estimated_Net_MRR_Change" queryTableFieldId="12" dataDxfId="0">
      <calculatedColumnFormula>tblMonthlyRevenue[[#This Row],[Estimated_New_MRR]]-tblMonthlyRevenue[[#This Row],[Estimated_Churned_MRR]]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FD8B-EB24-4E9C-8F86-6DB5DAC5046E}">
  <dimension ref="A1:W601"/>
  <sheetViews>
    <sheetView workbookViewId="0">
      <selection sqref="A1:XFD1048576"/>
    </sheetView>
  </sheetViews>
  <sheetFormatPr defaultRowHeight="14.25"/>
  <cols>
    <col min="1" max="1" width="12.796875" bestFit="1" customWidth="1"/>
    <col min="2" max="2" width="10.3984375" bestFit="1" customWidth="1"/>
    <col min="3" max="3" width="12.86328125" bestFit="1" customWidth="1"/>
    <col min="4" max="4" width="12" bestFit="1" customWidth="1"/>
    <col min="5" max="5" width="14.1328125" bestFit="1" customWidth="1"/>
    <col min="6" max="6" width="7.19921875" bestFit="1" customWidth="1"/>
    <col min="7" max="7" width="16.86328125" bestFit="1" customWidth="1"/>
    <col min="8" max="8" width="18.9296875" bestFit="1" customWidth="1"/>
    <col min="9" max="9" width="11.9296875" bestFit="1" customWidth="1"/>
    <col min="10" max="10" width="12.46484375" bestFit="1" customWidth="1"/>
    <col min="11" max="11" width="9.53125" bestFit="1" customWidth="1"/>
    <col min="12" max="12" width="11.86328125" bestFit="1" customWidth="1"/>
    <col min="13" max="13" width="17.33203125" bestFit="1" customWidth="1"/>
    <col min="14" max="14" width="20.73046875" bestFit="1" customWidth="1"/>
    <col min="15" max="15" width="11.06640625" bestFit="1" customWidth="1"/>
    <col min="16" max="16" width="17.59765625" bestFit="1" customWidth="1"/>
    <col min="17" max="17" width="10.3984375" bestFit="1" customWidth="1"/>
    <col min="18" max="18" width="12.6640625" customWidth="1"/>
    <col min="19" max="19" width="12.265625" customWidth="1"/>
    <col min="20" max="20" width="13.33203125" customWidth="1"/>
    <col min="21" max="21" width="12.3984375" customWidth="1"/>
    <col min="22" max="22" width="13.33203125" customWidth="1"/>
    <col min="23" max="23" width="13.863281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935</v>
      </c>
      <c r="S1" t="s">
        <v>936</v>
      </c>
      <c r="T1" t="s">
        <v>937</v>
      </c>
      <c r="U1" t="s">
        <v>938</v>
      </c>
      <c r="V1" t="s">
        <v>939</v>
      </c>
      <c r="W1" t="s">
        <v>940</v>
      </c>
    </row>
    <row r="2" spans="1:2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64</v>
      </c>
      <c r="G2">
        <v>826</v>
      </c>
      <c r="H2" t="s">
        <v>22</v>
      </c>
      <c r="I2" t="s">
        <v>23</v>
      </c>
      <c r="J2" s="1">
        <v>44739</v>
      </c>
      <c r="K2" t="s">
        <v>24</v>
      </c>
      <c r="L2" t="s">
        <v>25</v>
      </c>
      <c r="M2" t="s">
        <v>26</v>
      </c>
      <c r="N2">
        <v>13</v>
      </c>
      <c r="O2">
        <v>3</v>
      </c>
      <c r="P2">
        <v>15</v>
      </c>
      <c r="Q2" t="s">
        <v>27</v>
      </c>
      <c r="R2">
        <f>IF(tblSubscriptions[[#This Row],[churned]] = "Yes",1,0)</f>
        <v>1</v>
      </c>
      <c r="S2">
        <f t="shared" ref="S2:S65" si="0">IF(P2&lt;50,1,0)</f>
        <v>1</v>
      </c>
      <c r="T2">
        <f t="shared" ref="T2:T65" si="1">IF(O2&lt;=6,1,0)</f>
        <v>1</v>
      </c>
      <c r="U2">
        <f t="shared" ref="U2:U65" si="2">IF(N2&gt;=11,1,0)</f>
        <v>1</v>
      </c>
      <c r="V2">
        <f t="shared" ref="V2:V65" si="3">S2+T2+U2</f>
        <v>3</v>
      </c>
      <c r="W2" t="str">
        <f t="shared" ref="W2:W65" si="4">IF(V2&gt;=2,"High Risk",IF(V2=1,"Medium Risk","Low Risk"))</f>
        <v>High Risk</v>
      </c>
    </row>
    <row r="3" spans="1:23">
      <c r="A3" t="s">
        <v>28</v>
      </c>
      <c r="B3" t="s">
        <v>18</v>
      </c>
      <c r="C3" t="s">
        <v>29</v>
      </c>
      <c r="D3" t="s">
        <v>20</v>
      </c>
      <c r="E3" t="s">
        <v>21</v>
      </c>
      <c r="F3">
        <v>35</v>
      </c>
      <c r="G3">
        <v>410</v>
      </c>
      <c r="H3" t="s">
        <v>30</v>
      </c>
      <c r="I3" t="s">
        <v>23</v>
      </c>
      <c r="J3" s="1">
        <v>45004</v>
      </c>
      <c r="K3" t="s">
        <v>27</v>
      </c>
      <c r="L3" t="s">
        <v>31</v>
      </c>
      <c r="M3" t="s">
        <v>31</v>
      </c>
      <c r="N3">
        <v>1</v>
      </c>
      <c r="O3">
        <v>3</v>
      </c>
      <c r="P3">
        <v>52</v>
      </c>
      <c r="Q3" t="s">
        <v>24</v>
      </c>
      <c r="R3">
        <f>IF(tblSubscriptions[[#This Row],[churned]] = "Yes",1,0)</f>
        <v>0</v>
      </c>
      <c r="S3">
        <f t="shared" si="0"/>
        <v>0</v>
      </c>
      <c r="T3">
        <f t="shared" si="1"/>
        <v>1</v>
      </c>
      <c r="U3">
        <f t="shared" si="2"/>
        <v>0</v>
      </c>
      <c r="V3">
        <f t="shared" si="3"/>
        <v>1</v>
      </c>
      <c r="W3" t="str">
        <f t="shared" si="4"/>
        <v>Medium Risk</v>
      </c>
    </row>
    <row r="4" spans="1:23">
      <c r="A4" t="s">
        <v>32</v>
      </c>
      <c r="B4" t="s">
        <v>33</v>
      </c>
      <c r="C4" t="s">
        <v>29</v>
      </c>
      <c r="D4" t="s">
        <v>34</v>
      </c>
      <c r="E4" t="s">
        <v>35</v>
      </c>
      <c r="F4">
        <v>266</v>
      </c>
      <c r="G4">
        <v>1004</v>
      </c>
      <c r="H4" t="s">
        <v>36</v>
      </c>
      <c r="I4" t="s">
        <v>23</v>
      </c>
      <c r="J4" s="1">
        <v>45584</v>
      </c>
      <c r="K4" t="s">
        <v>24</v>
      </c>
      <c r="L4" t="s">
        <v>37</v>
      </c>
      <c r="M4" t="s">
        <v>26</v>
      </c>
      <c r="N4">
        <v>10</v>
      </c>
      <c r="O4">
        <v>4</v>
      </c>
      <c r="P4">
        <v>31</v>
      </c>
      <c r="Q4" t="s">
        <v>27</v>
      </c>
      <c r="R4">
        <f>IF(tblSubscriptions[[#This Row],[churned]] = "Yes",1,0)</f>
        <v>1</v>
      </c>
      <c r="S4">
        <f t="shared" si="0"/>
        <v>1</v>
      </c>
      <c r="T4">
        <f t="shared" si="1"/>
        <v>1</v>
      </c>
      <c r="U4">
        <f t="shared" si="2"/>
        <v>0</v>
      </c>
      <c r="V4">
        <f t="shared" si="3"/>
        <v>2</v>
      </c>
      <c r="W4" t="str">
        <f t="shared" si="4"/>
        <v>High Risk</v>
      </c>
    </row>
    <row r="5" spans="1:23">
      <c r="A5" t="s">
        <v>38</v>
      </c>
      <c r="B5" t="s">
        <v>39</v>
      </c>
      <c r="C5" t="s">
        <v>29</v>
      </c>
      <c r="D5" t="s">
        <v>40</v>
      </c>
      <c r="E5" t="s">
        <v>41</v>
      </c>
      <c r="F5">
        <v>34</v>
      </c>
      <c r="G5">
        <v>1006</v>
      </c>
      <c r="H5" t="s">
        <v>36</v>
      </c>
      <c r="I5" t="s">
        <v>42</v>
      </c>
      <c r="J5" s="1">
        <v>44933</v>
      </c>
      <c r="K5" t="s">
        <v>27</v>
      </c>
      <c r="L5" t="s">
        <v>31</v>
      </c>
      <c r="M5" t="s">
        <v>31</v>
      </c>
      <c r="N5">
        <v>3</v>
      </c>
      <c r="O5">
        <v>7</v>
      </c>
      <c r="P5">
        <v>58</v>
      </c>
      <c r="Q5" t="s">
        <v>27</v>
      </c>
      <c r="R5">
        <f>IF(tblSubscriptions[[#This Row],[churned]] = "Yes",1,0)</f>
        <v>0</v>
      </c>
      <c r="S5">
        <f t="shared" si="0"/>
        <v>0</v>
      </c>
      <c r="T5">
        <f t="shared" si="1"/>
        <v>0</v>
      </c>
      <c r="U5">
        <f t="shared" si="2"/>
        <v>0</v>
      </c>
      <c r="V5">
        <f t="shared" si="3"/>
        <v>0</v>
      </c>
      <c r="W5" t="str">
        <f t="shared" si="4"/>
        <v>Low Risk</v>
      </c>
    </row>
    <row r="6" spans="1:23">
      <c r="A6" t="s">
        <v>43</v>
      </c>
      <c r="B6" t="s">
        <v>33</v>
      </c>
      <c r="C6" t="s">
        <v>29</v>
      </c>
      <c r="D6" t="s">
        <v>44</v>
      </c>
      <c r="E6" t="s">
        <v>21</v>
      </c>
      <c r="F6">
        <v>48</v>
      </c>
      <c r="G6">
        <v>198</v>
      </c>
      <c r="H6" t="s">
        <v>30</v>
      </c>
      <c r="I6" t="s">
        <v>23</v>
      </c>
      <c r="J6" s="1">
        <v>45923</v>
      </c>
      <c r="K6" t="s">
        <v>27</v>
      </c>
      <c r="L6" t="s">
        <v>31</v>
      </c>
      <c r="M6" t="s">
        <v>31</v>
      </c>
      <c r="N6">
        <v>3</v>
      </c>
      <c r="O6">
        <v>7</v>
      </c>
      <c r="P6">
        <v>59</v>
      </c>
      <c r="Q6" t="s">
        <v>27</v>
      </c>
      <c r="R6">
        <f>IF(tblSubscriptions[[#This Row],[churned]] = "Yes",1,0)</f>
        <v>0</v>
      </c>
      <c r="S6">
        <f t="shared" si="0"/>
        <v>0</v>
      </c>
      <c r="T6">
        <f t="shared" si="1"/>
        <v>0</v>
      </c>
      <c r="U6">
        <f t="shared" si="2"/>
        <v>0</v>
      </c>
      <c r="V6">
        <f t="shared" si="3"/>
        <v>0</v>
      </c>
      <c r="W6" t="str">
        <f t="shared" si="4"/>
        <v>Low Risk</v>
      </c>
    </row>
    <row r="7" spans="1:23">
      <c r="A7" t="s">
        <v>45</v>
      </c>
      <c r="B7" t="s">
        <v>39</v>
      </c>
      <c r="C7" t="s">
        <v>29</v>
      </c>
      <c r="D7" t="s">
        <v>46</v>
      </c>
      <c r="E7" t="s">
        <v>47</v>
      </c>
      <c r="F7">
        <v>3</v>
      </c>
      <c r="G7">
        <v>220</v>
      </c>
      <c r="H7" t="s">
        <v>48</v>
      </c>
      <c r="I7" t="s">
        <v>23</v>
      </c>
      <c r="J7" s="1">
        <v>45197</v>
      </c>
      <c r="K7" t="s">
        <v>27</v>
      </c>
      <c r="L7" t="s">
        <v>31</v>
      </c>
      <c r="M7" t="s">
        <v>31</v>
      </c>
      <c r="N7">
        <v>12</v>
      </c>
      <c r="O7">
        <v>3</v>
      </c>
      <c r="P7">
        <v>48</v>
      </c>
      <c r="Q7" t="s">
        <v>27</v>
      </c>
      <c r="R7">
        <f>IF(tblSubscriptions[[#This Row],[churned]] = "Yes",1,0)</f>
        <v>0</v>
      </c>
      <c r="S7">
        <f t="shared" si="0"/>
        <v>1</v>
      </c>
      <c r="T7">
        <f t="shared" si="1"/>
        <v>1</v>
      </c>
      <c r="U7">
        <f t="shared" si="2"/>
        <v>1</v>
      </c>
      <c r="V7">
        <f t="shared" si="3"/>
        <v>3</v>
      </c>
      <c r="W7" t="str">
        <f t="shared" si="4"/>
        <v>High Risk</v>
      </c>
    </row>
    <row r="8" spans="1:23">
      <c r="A8" t="s">
        <v>49</v>
      </c>
      <c r="B8" t="s">
        <v>33</v>
      </c>
      <c r="C8" t="s">
        <v>19</v>
      </c>
      <c r="D8" t="s">
        <v>34</v>
      </c>
      <c r="E8" t="s">
        <v>50</v>
      </c>
      <c r="F8">
        <v>121</v>
      </c>
      <c r="G8">
        <v>551</v>
      </c>
      <c r="H8" t="s">
        <v>36</v>
      </c>
      <c r="I8" t="s">
        <v>42</v>
      </c>
      <c r="J8" s="1">
        <v>45358</v>
      </c>
      <c r="K8" t="s">
        <v>24</v>
      </c>
      <c r="L8" t="s">
        <v>51</v>
      </c>
      <c r="M8" t="s">
        <v>52</v>
      </c>
      <c r="N8">
        <v>0</v>
      </c>
      <c r="O8">
        <v>2</v>
      </c>
      <c r="P8">
        <v>14</v>
      </c>
      <c r="Q8" t="s">
        <v>27</v>
      </c>
      <c r="R8">
        <f>IF(tblSubscriptions[[#This Row],[churned]] = "Yes",1,0)</f>
        <v>1</v>
      </c>
      <c r="S8">
        <f t="shared" si="0"/>
        <v>1</v>
      </c>
      <c r="T8">
        <f t="shared" si="1"/>
        <v>1</v>
      </c>
      <c r="U8">
        <f t="shared" si="2"/>
        <v>0</v>
      </c>
      <c r="V8">
        <f t="shared" si="3"/>
        <v>2</v>
      </c>
      <c r="W8" t="str">
        <f t="shared" si="4"/>
        <v>High Risk</v>
      </c>
    </row>
    <row r="9" spans="1:23">
      <c r="A9" t="s">
        <v>53</v>
      </c>
      <c r="B9" t="s">
        <v>33</v>
      </c>
      <c r="C9" t="s">
        <v>19</v>
      </c>
      <c r="D9" t="s">
        <v>46</v>
      </c>
      <c r="E9" t="s">
        <v>21</v>
      </c>
      <c r="F9">
        <v>48</v>
      </c>
      <c r="G9">
        <v>233</v>
      </c>
      <c r="H9" t="s">
        <v>48</v>
      </c>
      <c r="I9" t="s">
        <v>42</v>
      </c>
      <c r="J9" s="1">
        <v>45755</v>
      </c>
      <c r="K9" t="s">
        <v>24</v>
      </c>
      <c r="L9" t="s">
        <v>54</v>
      </c>
      <c r="M9" t="s">
        <v>26</v>
      </c>
      <c r="N9">
        <v>10</v>
      </c>
      <c r="O9">
        <v>2</v>
      </c>
      <c r="P9">
        <v>28</v>
      </c>
      <c r="Q9" t="s">
        <v>27</v>
      </c>
      <c r="R9">
        <f>IF(tblSubscriptions[[#This Row],[churned]] = "Yes",1,0)</f>
        <v>1</v>
      </c>
      <c r="S9">
        <f t="shared" si="0"/>
        <v>1</v>
      </c>
      <c r="T9">
        <f t="shared" si="1"/>
        <v>1</v>
      </c>
      <c r="U9">
        <f t="shared" si="2"/>
        <v>0</v>
      </c>
      <c r="V9">
        <f t="shared" si="3"/>
        <v>2</v>
      </c>
      <c r="W9" t="str">
        <f t="shared" si="4"/>
        <v>High Risk</v>
      </c>
    </row>
    <row r="10" spans="1:23">
      <c r="A10" t="s">
        <v>55</v>
      </c>
      <c r="B10" t="s">
        <v>33</v>
      </c>
      <c r="C10" t="s">
        <v>19</v>
      </c>
      <c r="D10" t="s">
        <v>56</v>
      </c>
      <c r="E10" t="s">
        <v>47</v>
      </c>
      <c r="F10">
        <v>3</v>
      </c>
      <c r="G10">
        <v>38</v>
      </c>
      <c r="H10" t="s">
        <v>36</v>
      </c>
      <c r="I10" t="s">
        <v>23</v>
      </c>
      <c r="J10" s="1">
        <v>44948</v>
      </c>
      <c r="K10" t="s">
        <v>24</v>
      </c>
      <c r="L10" t="s">
        <v>57</v>
      </c>
      <c r="M10" t="s">
        <v>58</v>
      </c>
      <c r="N10">
        <v>5</v>
      </c>
      <c r="O10">
        <v>6</v>
      </c>
      <c r="P10">
        <v>15</v>
      </c>
      <c r="Q10" t="s">
        <v>27</v>
      </c>
      <c r="R10">
        <f>IF(tblSubscriptions[[#This Row],[churned]] = "Yes",1,0)</f>
        <v>1</v>
      </c>
      <c r="S10">
        <f t="shared" si="0"/>
        <v>1</v>
      </c>
      <c r="T10">
        <f t="shared" si="1"/>
        <v>1</v>
      </c>
      <c r="U10">
        <f t="shared" si="2"/>
        <v>0</v>
      </c>
      <c r="V10">
        <f t="shared" si="3"/>
        <v>2</v>
      </c>
      <c r="W10" t="str">
        <f t="shared" si="4"/>
        <v>High Risk</v>
      </c>
    </row>
    <row r="11" spans="1:23">
      <c r="A11" t="s">
        <v>59</v>
      </c>
      <c r="B11" t="s">
        <v>39</v>
      </c>
      <c r="C11" t="s">
        <v>19</v>
      </c>
      <c r="D11" t="s">
        <v>60</v>
      </c>
      <c r="E11" t="s">
        <v>21</v>
      </c>
      <c r="F11">
        <v>80</v>
      </c>
      <c r="G11">
        <v>2557</v>
      </c>
      <c r="H11" t="s">
        <v>36</v>
      </c>
      <c r="I11" t="s">
        <v>23</v>
      </c>
      <c r="J11" s="1">
        <v>44739</v>
      </c>
      <c r="K11" t="s">
        <v>24</v>
      </c>
      <c r="L11" t="s">
        <v>61</v>
      </c>
      <c r="M11" t="s">
        <v>62</v>
      </c>
      <c r="N11">
        <v>3</v>
      </c>
      <c r="O11">
        <v>4</v>
      </c>
      <c r="P11">
        <v>48</v>
      </c>
      <c r="Q11" t="s">
        <v>27</v>
      </c>
      <c r="R11">
        <f>IF(tblSubscriptions[[#This Row],[churned]] = "Yes",1,0)</f>
        <v>1</v>
      </c>
      <c r="S11">
        <f t="shared" si="0"/>
        <v>1</v>
      </c>
      <c r="T11">
        <f t="shared" si="1"/>
        <v>1</v>
      </c>
      <c r="U11">
        <f t="shared" si="2"/>
        <v>0</v>
      </c>
      <c r="V11">
        <f t="shared" si="3"/>
        <v>2</v>
      </c>
      <c r="W11" t="str">
        <f t="shared" si="4"/>
        <v>High Risk</v>
      </c>
    </row>
    <row r="12" spans="1:23">
      <c r="A12" t="s">
        <v>63</v>
      </c>
      <c r="B12" t="s">
        <v>39</v>
      </c>
      <c r="C12" t="s">
        <v>29</v>
      </c>
      <c r="D12" t="s">
        <v>60</v>
      </c>
      <c r="E12" t="s">
        <v>50</v>
      </c>
      <c r="F12">
        <v>77</v>
      </c>
      <c r="G12">
        <v>2097</v>
      </c>
      <c r="H12" t="s">
        <v>22</v>
      </c>
      <c r="I12" t="s">
        <v>64</v>
      </c>
      <c r="J12" s="1">
        <v>44902</v>
      </c>
      <c r="K12" t="s">
        <v>24</v>
      </c>
      <c r="L12" t="s">
        <v>65</v>
      </c>
      <c r="M12" t="s">
        <v>66</v>
      </c>
      <c r="N12">
        <v>9</v>
      </c>
      <c r="O12">
        <v>1</v>
      </c>
      <c r="P12">
        <v>37</v>
      </c>
      <c r="Q12" t="s">
        <v>27</v>
      </c>
      <c r="R12">
        <f>IF(tblSubscriptions[[#This Row],[churned]] = "Yes",1,0)</f>
        <v>1</v>
      </c>
      <c r="S12">
        <f t="shared" si="0"/>
        <v>1</v>
      </c>
      <c r="T12">
        <f t="shared" si="1"/>
        <v>1</v>
      </c>
      <c r="U12">
        <f t="shared" si="2"/>
        <v>0</v>
      </c>
      <c r="V12">
        <f t="shared" si="3"/>
        <v>2</v>
      </c>
      <c r="W12" t="str">
        <f t="shared" si="4"/>
        <v>High Risk</v>
      </c>
    </row>
    <row r="13" spans="1:23">
      <c r="A13" t="s">
        <v>67</v>
      </c>
      <c r="B13" t="s">
        <v>39</v>
      </c>
      <c r="C13" t="s">
        <v>29</v>
      </c>
      <c r="D13" t="s">
        <v>46</v>
      </c>
      <c r="E13" t="s">
        <v>41</v>
      </c>
      <c r="F13">
        <v>30</v>
      </c>
      <c r="G13">
        <v>905</v>
      </c>
      <c r="H13" t="s">
        <v>48</v>
      </c>
      <c r="I13" t="s">
        <v>23</v>
      </c>
      <c r="J13" s="1">
        <v>45247</v>
      </c>
      <c r="K13" t="s">
        <v>27</v>
      </c>
      <c r="L13" t="s">
        <v>31</v>
      </c>
      <c r="M13" t="s">
        <v>31</v>
      </c>
      <c r="N13">
        <v>4</v>
      </c>
      <c r="O13">
        <v>1</v>
      </c>
      <c r="P13">
        <v>47</v>
      </c>
      <c r="Q13" t="s">
        <v>24</v>
      </c>
      <c r="R13">
        <f>IF(tblSubscriptions[[#This Row],[churned]] = "Yes",1,0)</f>
        <v>0</v>
      </c>
      <c r="S13">
        <f t="shared" si="0"/>
        <v>1</v>
      </c>
      <c r="T13">
        <f t="shared" si="1"/>
        <v>1</v>
      </c>
      <c r="U13">
        <f t="shared" si="2"/>
        <v>0</v>
      </c>
      <c r="V13">
        <f t="shared" si="3"/>
        <v>2</v>
      </c>
      <c r="W13" t="str">
        <f t="shared" si="4"/>
        <v>High Risk</v>
      </c>
    </row>
    <row r="14" spans="1:23">
      <c r="A14" t="s">
        <v>68</v>
      </c>
      <c r="B14" t="s">
        <v>39</v>
      </c>
      <c r="C14" t="s">
        <v>19</v>
      </c>
      <c r="D14" t="s">
        <v>34</v>
      </c>
      <c r="E14" t="s">
        <v>47</v>
      </c>
      <c r="F14">
        <v>4</v>
      </c>
      <c r="G14">
        <v>289</v>
      </c>
      <c r="H14" t="s">
        <v>48</v>
      </c>
      <c r="I14" t="s">
        <v>42</v>
      </c>
      <c r="J14" s="1">
        <v>45475</v>
      </c>
      <c r="K14" t="s">
        <v>27</v>
      </c>
      <c r="L14" t="s">
        <v>31</v>
      </c>
      <c r="M14" t="s">
        <v>31</v>
      </c>
      <c r="N14">
        <v>10</v>
      </c>
      <c r="O14">
        <v>9</v>
      </c>
      <c r="P14">
        <v>84</v>
      </c>
      <c r="Q14" t="s">
        <v>24</v>
      </c>
      <c r="R14">
        <f>IF(tblSubscriptions[[#This Row],[churned]] = "Yes",1,0)</f>
        <v>0</v>
      </c>
      <c r="S14">
        <f t="shared" si="0"/>
        <v>0</v>
      </c>
      <c r="T14">
        <f t="shared" si="1"/>
        <v>0</v>
      </c>
      <c r="U14">
        <f t="shared" si="2"/>
        <v>0</v>
      </c>
      <c r="V14">
        <f t="shared" si="3"/>
        <v>0</v>
      </c>
      <c r="W14" t="str">
        <f t="shared" si="4"/>
        <v>Low Risk</v>
      </c>
    </row>
    <row r="15" spans="1:23">
      <c r="A15" t="s">
        <v>69</v>
      </c>
      <c r="B15" t="s">
        <v>33</v>
      </c>
      <c r="C15" t="s">
        <v>19</v>
      </c>
      <c r="D15" t="s">
        <v>20</v>
      </c>
      <c r="E15" t="s">
        <v>21</v>
      </c>
      <c r="F15">
        <v>56</v>
      </c>
      <c r="G15">
        <v>268</v>
      </c>
      <c r="H15" t="s">
        <v>70</v>
      </c>
      <c r="I15" t="s">
        <v>42</v>
      </c>
      <c r="J15" s="1">
        <v>44710</v>
      </c>
      <c r="K15" t="s">
        <v>24</v>
      </c>
      <c r="L15" t="s">
        <v>71</v>
      </c>
      <c r="M15" t="s">
        <v>52</v>
      </c>
      <c r="N15">
        <v>1</v>
      </c>
      <c r="O15">
        <v>2</v>
      </c>
      <c r="P15">
        <v>21</v>
      </c>
      <c r="Q15" t="s">
        <v>27</v>
      </c>
      <c r="R15">
        <f>IF(tblSubscriptions[[#This Row],[churned]] = "Yes",1,0)</f>
        <v>1</v>
      </c>
      <c r="S15">
        <f t="shared" si="0"/>
        <v>1</v>
      </c>
      <c r="T15">
        <f t="shared" si="1"/>
        <v>1</v>
      </c>
      <c r="U15">
        <f t="shared" si="2"/>
        <v>0</v>
      </c>
      <c r="V15">
        <f t="shared" si="3"/>
        <v>2</v>
      </c>
      <c r="W15" t="str">
        <f t="shared" si="4"/>
        <v>High Risk</v>
      </c>
    </row>
    <row r="16" spans="1:23">
      <c r="A16" t="s">
        <v>72</v>
      </c>
      <c r="B16" t="s">
        <v>33</v>
      </c>
      <c r="C16" t="s">
        <v>19</v>
      </c>
      <c r="D16" t="s">
        <v>73</v>
      </c>
      <c r="E16" t="s">
        <v>47</v>
      </c>
      <c r="F16">
        <v>6</v>
      </c>
      <c r="G16">
        <v>51</v>
      </c>
      <c r="H16" t="s">
        <v>48</v>
      </c>
      <c r="I16" t="s">
        <v>23</v>
      </c>
      <c r="J16" s="1">
        <v>45308</v>
      </c>
      <c r="K16" t="s">
        <v>24</v>
      </c>
      <c r="L16" t="s">
        <v>74</v>
      </c>
      <c r="M16" t="s">
        <v>75</v>
      </c>
      <c r="N16">
        <v>7</v>
      </c>
      <c r="O16">
        <v>3</v>
      </c>
      <c r="P16">
        <v>25</v>
      </c>
      <c r="Q16" t="s">
        <v>27</v>
      </c>
      <c r="R16">
        <f>IF(tblSubscriptions[[#This Row],[churned]] = "Yes",1,0)</f>
        <v>1</v>
      </c>
      <c r="S16">
        <f t="shared" si="0"/>
        <v>1</v>
      </c>
      <c r="T16">
        <f t="shared" si="1"/>
        <v>1</v>
      </c>
      <c r="U16">
        <f t="shared" si="2"/>
        <v>0</v>
      </c>
      <c r="V16">
        <f t="shared" si="3"/>
        <v>2</v>
      </c>
      <c r="W16" t="str">
        <f t="shared" si="4"/>
        <v>High Risk</v>
      </c>
    </row>
    <row r="17" spans="1:23">
      <c r="A17" t="s">
        <v>76</v>
      </c>
      <c r="B17" t="s">
        <v>33</v>
      </c>
      <c r="C17" t="s">
        <v>19</v>
      </c>
      <c r="D17" t="s">
        <v>44</v>
      </c>
      <c r="E17" t="s">
        <v>50</v>
      </c>
      <c r="F17">
        <v>52</v>
      </c>
      <c r="G17">
        <v>251</v>
      </c>
      <c r="H17" t="s">
        <v>22</v>
      </c>
      <c r="I17" t="s">
        <v>23</v>
      </c>
      <c r="J17" s="1">
        <v>44713</v>
      </c>
      <c r="K17" t="s">
        <v>24</v>
      </c>
      <c r="L17" t="s">
        <v>77</v>
      </c>
      <c r="M17" t="s">
        <v>62</v>
      </c>
      <c r="N17">
        <v>11</v>
      </c>
      <c r="O17">
        <v>4</v>
      </c>
      <c r="P17">
        <v>34</v>
      </c>
      <c r="Q17" t="s">
        <v>27</v>
      </c>
      <c r="R17">
        <f>IF(tblSubscriptions[[#This Row],[churned]] = "Yes",1,0)</f>
        <v>1</v>
      </c>
      <c r="S17">
        <f t="shared" si="0"/>
        <v>1</v>
      </c>
      <c r="T17">
        <f t="shared" si="1"/>
        <v>1</v>
      </c>
      <c r="U17">
        <f t="shared" si="2"/>
        <v>1</v>
      </c>
      <c r="V17">
        <f t="shared" si="3"/>
        <v>3</v>
      </c>
      <c r="W17" t="str">
        <f t="shared" si="4"/>
        <v>High Risk</v>
      </c>
    </row>
    <row r="18" spans="1:23">
      <c r="A18" t="s">
        <v>78</v>
      </c>
      <c r="B18" t="s">
        <v>39</v>
      </c>
      <c r="C18" t="s">
        <v>19</v>
      </c>
      <c r="D18" t="s">
        <v>73</v>
      </c>
      <c r="E18" t="s">
        <v>41</v>
      </c>
      <c r="F18">
        <v>34</v>
      </c>
      <c r="G18">
        <v>1184</v>
      </c>
      <c r="H18" t="s">
        <v>70</v>
      </c>
      <c r="I18" t="s">
        <v>23</v>
      </c>
      <c r="J18" s="1">
        <v>45649</v>
      </c>
      <c r="K18" t="s">
        <v>24</v>
      </c>
      <c r="L18" t="s">
        <v>79</v>
      </c>
      <c r="M18" t="s">
        <v>75</v>
      </c>
      <c r="N18">
        <v>3</v>
      </c>
      <c r="O18">
        <v>3</v>
      </c>
      <c r="P18">
        <v>49</v>
      </c>
      <c r="Q18" t="s">
        <v>27</v>
      </c>
      <c r="R18">
        <f>IF(tblSubscriptions[[#This Row],[churned]] = "Yes",1,0)</f>
        <v>1</v>
      </c>
      <c r="S18">
        <f t="shared" si="0"/>
        <v>1</v>
      </c>
      <c r="T18">
        <f t="shared" si="1"/>
        <v>1</v>
      </c>
      <c r="U18">
        <f t="shared" si="2"/>
        <v>0</v>
      </c>
      <c r="V18">
        <f t="shared" si="3"/>
        <v>2</v>
      </c>
      <c r="W18" t="str">
        <f t="shared" si="4"/>
        <v>High Risk</v>
      </c>
    </row>
    <row r="19" spans="1:23">
      <c r="A19" t="s">
        <v>80</v>
      </c>
      <c r="B19" t="s">
        <v>33</v>
      </c>
      <c r="C19" t="s">
        <v>19</v>
      </c>
      <c r="D19" t="s">
        <v>56</v>
      </c>
      <c r="E19" t="s">
        <v>21</v>
      </c>
      <c r="F19">
        <v>64</v>
      </c>
      <c r="G19">
        <v>303</v>
      </c>
      <c r="H19" t="s">
        <v>48</v>
      </c>
      <c r="I19" t="s">
        <v>42</v>
      </c>
      <c r="J19" s="1">
        <v>45098</v>
      </c>
      <c r="K19" t="s">
        <v>24</v>
      </c>
      <c r="L19" t="s">
        <v>81</v>
      </c>
      <c r="M19" t="s">
        <v>66</v>
      </c>
      <c r="N19">
        <v>14</v>
      </c>
      <c r="O19">
        <v>3</v>
      </c>
      <c r="P19">
        <v>25</v>
      </c>
      <c r="Q19" t="s">
        <v>27</v>
      </c>
      <c r="R19">
        <f>IF(tblSubscriptions[[#This Row],[churned]] = "Yes",1,0)</f>
        <v>1</v>
      </c>
      <c r="S19">
        <f t="shared" si="0"/>
        <v>1</v>
      </c>
      <c r="T19">
        <f t="shared" si="1"/>
        <v>1</v>
      </c>
      <c r="U19">
        <f t="shared" si="2"/>
        <v>1</v>
      </c>
      <c r="V19">
        <f t="shared" si="3"/>
        <v>3</v>
      </c>
      <c r="W19" t="str">
        <f t="shared" si="4"/>
        <v>High Risk</v>
      </c>
    </row>
    <row r="20" spans="1:23">
      <c r="A20" t="s">
        <v>82</v>
      </c>
      <c r="B20" t="s">
        <v>18</v>
      </c>
      <c r="C20" t="s">
        <v>29</v>
      </c>
      <c r="D20" t="s">
        <v>83</v>
      </c>
      <c r="E20" t="s">
        <v>35</v>
      </c>
      <c r="F20">
        <v>67</v>
      </c>
      <c r="G20">
        <v>732</v>
      </c>
      <c r="H20" t="s">
        <v>36</v>
      </c>
      <c r="I20" t="s">
        <v>84</v>
      </c>
      <c r="J20" s="1">
        <v>45377</v>
      </c>
      <c r="K20" t="s">
        <v>24</v>
      </c>
      <c r="L20" t="s">
        <v>85</v>
      </c>
      <c r="M20" t="s">
        <v>66</v>
      </c>
      <c r="N20">
        <v>10</v>
      </c>
      <c r="O20">
        <v>2</v>
      </c>
      <c r="P20">
        <v>10</v>
      </c>
      <c r="Q20" t="s">
        <v>27</v>
      </c>
      <c r="R20">
        <f>IF(tblSubscriptions[[#This Row],[churned]] = "Yes",1,0)</f>
        <v>1</v>
      </c>
      <c r="S20">
        <f t="shared" si="0"/>
        <v>1</v>
      </c>
      <c r="T20">
        <f t="shared" si="1"/>
        <v>1</v>
      </c>
      <c r="U20">
        <f t="shared" si="2"/>
        <v>0</v>
      </c>
      <c r="V20">
        <f t="shared" si="3"/>
        <v>2</v>
      </c>
      <c r="W20" t="str">
        <f t="shared" si="4"/>
        <v>High Risk</v>
      </c>
    </row>
    <row r="21" spans="1:23">
      <c r="A21" t="s">
        <v>86</v>
      </c>
      <c r="B21" t="s">
        <v>87</v>
      </c>
      <c r="C21" t="s">
        <v>29</v>
      </c>
      <c r="D21" t="s">
        <v>73</v>
      </c>
      <c r="E21" t="s">
        <v>47</v>
      </c>
      <c r="F21">
        <v>7</v>
      </c>
      <c r="G21">
        <v>806</v>
      </c>
      <c r="H21" t="s">
        <v>22</v>
      </c>
      <c r="I21" t="s">
        <v>64</v>
      </c>
      <c r="J21" s="1">
        <v>45149</v>
      </c>
      <c r="K21" t="s">
        <v>27</v>
      </c>
      <c r="L21" t="s">
        <v>31</v>
      </c>
      <c r="M21" t="s">
        <v>31</v>
      </c>
      <c r="N21">
        <v>8</v>
      </c>
      <c r="O21">
        <v>4</v>
      </c>
      <c r="P21">
        <v>93</v>
      </c>
      <c r="Q21" t="s">
        <v>27</v>
      </c>
      <c r="R21">
        <f>IF(tblSubscriptions[[#This Row],[churned]] = "Yes",1,0)</f>
        <v>0</v>
      </c>
      <c r="S21">
        <f t="shared" si="0"/>
        <v>0</v>
      </c>
      <c r="T21">
        <f t="shared" si="1"/>
        <v>1</v>
      </c>
      <c r="U21">
        <f t="shared" si="2"/>
        <v>0</v>
      </c>
      <c r="V21">
        <f t="shared" si="3"/>
        <v>1</v>
      </c>
      <c r="W21" t="str">
        <f t="shared" si="4"/>
        <v>Medium Risk</v>
      </c>
    </row>
    <row r="22" spans="1:23">
      <c r="A22" t="s">
        <v>88</v>
      </c>
      <c r="B22" t="s">
        <v>18</v>
      </c>
      <c r="C22" t="s">
        <v>29</v>
      </c>
      <c r="D22" t="s">
        <v>20</v>
      </c>
      <c r="E22" t="s">
        <v>21</v>
      </c>
      <c r="F22">
        <v>66</v>
      </c>
      <c r="G22">
        <v>722</v>
      </c>
      <c r="H22" t="s">
        <v>36</v>
      </c>
      <c r="I22" t="s">
        <v>42</v>
      </c>
      <c r="J22" s="1">
        <v>45253</v>
      </c>
      <c r="K22" t="s">
        <v>24</v>
      </c>
      <c r="L22" t="s">
        <v>89</v>
      </c>
      <c r="M22" t="s">
        <v>26</v>
      </c>
      <c r="N22">
        <v>7</v>
      </c>
      <c r="O22">
        <v>2</v>
      </c>
      <c r="P22">
        <v>19</v>
      </c>
      <c r="Q22" t="s">
        <v>27</v>
      </c>
      <c r="R22">
        <f>IF(tblSubscriptions[[#This Row],[churned]] = "Yes",1,0)</f>
        <v>1</v>
      </c>
      <c r="S22">
        <f t="shared" si="0"/>
        <v>1</v>
      </c>
      <c r="T22">
        <f t="shared" si="1"/>
        <v>1</v>
      </c>
      <c r="U22">
        <f t="shared" si="2"/>
        <v>0</v>
      </c>
      <c r="V22">
        <f t="shared" si="3"/>
        <v>2</v>
      </c>
      <c r="W22" t="str">
        <f t="shared" si="4"/>
        <v>High Risk</v>
      </c>
    </row>
    <row r="23" spans="1:23">
      <c r="A23" t="s">
        <v>90</v>
      </c>
      <c r="B23" t="s">
        <v>39</v>
      </c>
      <c r="C23" t="s">
        <v>29</v>
      </c>
      <c r="D23" t="s">
        <v>73</v>
      </c>
      <c r="E23" t="s">
        <v>47</v>
      </c>
      <c r="F23">
        <v>6</v>
      </c>
      <c r="G23">
        <v>296</v>
      </c>
      <c r="H23" t="s">
        <v>48</v>
      </c>
      <c r="I23" t="s">
        <v>42</v>
      </c>
      <c r="J23" s="1">
        <v>44744</v>
      </c>
      <c r="K23" t="s">
        <v>27</v>
      </c>
      <c r="L23" t="s">
        <v>31</v>
      </c>
      <c r="M23" t="s">
        <v>31</v>
      </c>
      <c r="N23">
        <v>5</v>
      </c>
      <c r="O23">
        <v>7</v>
      </c>
      <c r="P23">
        <v>40</v>
      </c>
      <c r="Q23" t="s">
        <v>27</v>
      </c>
      <c r="R23">
        <f>IF(tblSubscriptions[[#This Row],[churned]] = "Yes",1,0)</f>
        <v>0</v>
      </c>
      <c r="S23">
        <f t="shared" si="0"/>
        <v>1</v>
      </c>
      <c r="T23">
        <f t="shared" si="1"/>
        <v>0</v>
      </c>
      <c r="U23">
        <f t="shared" si="2"/>
        <v>0</v>
      </c>
      <c r="V23">
        <f t="shared" si="3"/>
        <v>1</v>
      </c>
      <c r="W23" t="str">
        <f t="shared" si="4"/>
        <v>Medium Risk</v>
      </c>
    </row>
    <row r="24" spans="1:23">
      <c r="A24" t="s">
        <v>91</v>
      </c>
      <c r="B24" t="s">
        <v>33</v>
      </c>
      <c r="C24" t="s">
        <v>19</v>
      </c>
      <c r="D24" t="s">
        <v>60</v>
      </c>
      <c r="E24" t="s">
        <v>41</v>
      </c>
      <c r="F24">
        <v>25</v>
      </c>
      <c r="G24">
        <v>133</v>
      </c>
      <c r="H24" t="s">
        <v>70</v>
      </c>
      <c r="I24" t="s">
        <v>42</v>
      </c>
      <c r="J24" s="1">
        <v>45339</v>
      </c>
      <c r="K24" t="s">
        <v>24</v>
      </c>
      <c r="L24" t="s">
        <v>92</v>
      </c>
      <c r="M24" t="s">
        <v>66</v>
      </c>
      <c r="N24">
        <v>11</v>
      </c>
      <c r="O24">
        <v>1</v>
      </c>
      <c r="P24">
        <v>16</v>
      </c>
      <c r="Q24" t="s">
        <v>27</v>
      </c>
      <c r="R24">
        <f>IF(tblSubscriptions[[#This Row],[churned]] = "Yes",1,0)</f>
        <v>1</v>
      </c>
      <c r="S24">
        <f t="shared" si="0"/>
        <v>1</v>
      </c>
      <c r="T24">
        <f t="shared" si="1"/>
        <v>1</v>
      </c>
      <c r="U24">
        <f t="shared" si="2"/>
        <v>1</v>
      </c>
      <c r="V24">
        <f t="shared" si="3"/>
        <v>3</v>
      </c>
      <c r="W24" t="str">
        <f t="shared" si="4"/>
        <v>High Risk</v>
      </c>
    </row>
    <row r="25" spans="1:23">
      <c r="A25" t="s">
        <v>93</v>
      </c>
      <c r="B25" t="s">
        <v>87</v>
      </c>
      <c r="C25" t="s">
        <v>29</v>
      </c>
      <c r="D25" t="s">
        <v>44</v>
      </c>
      <c r="E25" t="s">
        <v>41</v>
      </c>
      <c r="F25">
        <v>14</v>
      </c>
      <c r="G25">
        <v>1251</v>
      </c>
      <c r="H25" t="s">
        <v>48</v>
      </c>
      <c r="I25" t="s">
        <v>42</v>
      </c>
      <c r="J25" s="1">
        <v>45799</v>
      </c>
      <c r="K25" t="s">
        <v>27</v>
      </c>
      <c r="L25" t="s">
        <v>31</v>
      </c>
      <c r="M25" t="s">
        <v>31</v>
      </c>
      <c r="N25">
        <v>11</v>
      </c>
      <c r="O25">
        <v>1</v>
      </c>
      <c r="P25">
        <v>85</v>
      </c>
      <c r="Q25" t="s">
        <v>27</v>
      </c>
      <c r="R25">
        <f>IF(tblSubscriptions[[#This Row],[churned]] = "Yes",1,0)</f>
        <v>0</v>
      </c>
      <c r="S25">
        <f t="shared" si="0"/>
        <v>0</v>
      </c>
      <c r="T25">
        <f t="shared" si="1"/>
        <v>1</v>
      </c>
      <c r="U25">
        <f t="shared" si="2"/>
        <v>1</v>
      </c>
      <c r="V25">
        <f t="shared" si="3"/>
        <v>2</v>
      </c>
      <c r="W25" t="str">
        <f t="shared" si="4"/>
        <v>High Risk</v>
      </c>
    </row>
    <row r="26" spans="1:23">
      <c r="A26" t="s">
        <v>94</v>
      </c>
      <c r="B26" t="s">
        <v>33</v>
      </c>
      <c r="C26" t="s">
        <v>29</v>
      </c>
      <c r="D26" t="s">
        <v>20</v>
      </c>
      <c r="E26" t="s">
        <v>41</v>
      </c>
      <c r="F26">
        <v>7</v>
      </c>
      <c r="G26">
        <v>47</v>
      </c>
      <c r="H26" t="s">
        <v>48</v>
      </c>
      <c r="I26" t="s">
        <v>23</v>
      </c>
      <c r="J26" s="1">
        <v>45451</v>
      </c>
      <c r="K26" t="s">
        <v>27</v>
      </c>
      <c r="L26" t="s">
        <v>31</v>
      </c>
      <c r="M26" t="s">
        <v>31</v>
      </c>
      <c r="N26">
        <v>1</v>
      </c>
      <c r="O26">
        <v>1</v>
      </c>
      <c r="P26">
        <v>42</v>
      </c>
      <c r="Q26" t="s">
        <v>27</v>
      </c>
      <c r="R26">
        <f>IF(tblSubscriptions[[#This Row],[churned]] = "Yes",1,0)</f>
        <v>0</v>
      </c>
      <c r="S26">
        <f t="shared" si="0"/>
        <v>1</v>
      </c>
      <c r="T26">
        <f t="shared" si="1"/>
        <v>1</v>
      </c>
      <c r="U26">
        <f t="shared" si="2"/>
        <v>0</v>
      </c>
      <c r="V26">
        <f t="shared" si="3"/>
        <v>2</v>
      </c>
      <c r="W26" t="str">
        <f t="shared" si="4"/>
        <v>High Risk</v>
      </c>
    </row>
    <row r="27" spans="1:23">
      <c r="A27" t="s">
        <v>95</v>
      </c>
      <c r="B27" t="s">
        <v>87</v>
      </c>
      <c r="C27" t="s">
        <v>29</v>
      </c>
      <c r="D27" t="s">
        <v>56</v>
      </c>
      <c r="E27" t="s">
        <v>47</v>
      </c>
      <c r="F27">
        <v>4</v>
      </c>
      <c r="G27">
        <v>615</v>
      </c>
      <c r="H27" t="s">
        <v>48</v>
      </c>
      <c r="I27" t="s">
        <v>42</v>
      </c>
      <c r="J27" s="1">
        <v>45863</v>
      </c>
      <c r="K27" t="s">
        <v>27</v>
      </c>
      <c r="L27" t="s">
        <v>31</v>
      </c>
      <c r="M27" t="s">
        <v>31</v>
      </c>
      <c r="N27">
        <v>2</v>
      </c>
      <c r="O27">
        <v>9</v>
      </c>
      <c r="P27">
        <v>73</v>
      </c>
      <c r="Q27" t="s">
        <v>27</v>
      </c>
      <c r="R27">
        <f>IF(tblSubscriptions[[#This Row],[churned]] = "Yes",1,0)</f>
        <v>0</v>
      </c>
      <c r="S27">
        <f t="shared" si="0"/>
        <v>0</v>
      </c>
      <c r="T27">
        <f t="shared" si="1"/>
        <v>0</v>
      </c>
      <c r="U27">
        <f t="shared" si="2"/>
        <v>0</v>
      </c>
      <c r="V27">
        <f t="shared" si="3"/>
        <v>0</v>
      </c>
      <c r="W27" t="str">
        <f t="shared" si="4"/>
        <v>Low Risk</v>
      </c>
    </row>
    <row r="28" spans="1:23">
      <c r="A28" t="s">
        <v>96</v>
      </c>
      <c r="B28" t="s">
        <v>33</v>
      </c>
      <c r="C28" t="s">
        <v>19</v>
      </c>
      <c r="D28" t="s">
        <v>97</v>
      </c>
      <c r="E28" t="s">
        <v>47</v>
      </c>
      <c r="F28">
        <v>1</v>
      </c>
      <c r="G28">
        <v>29</v>
      </c>
      <c r="H28" t="s">
        <v>36</v>
      </c>
      <c r="I28" t="s">
        <v>64</v>
      </c>
      <c r="J28" s="1">
        <v>45179</v>
      </c>
      <c r="K28" t="s">
        <v>24</v>
      </c>
      <c r="L28" t="s">
        <v>98</v>
      </c>
      <c r="M28" t="s">
        <v>52</v>
      </c>
      <c r="N28">
        <v>8</v>
      </c>
      <c r="O28">
        <v>3</v>
      </c>
      <c r="P28">
        <v>10</v>
      </c>
      <c r="Q28" t="s">
        <v>27</v>
      </c>
      <c r="R28">
        <f>IF(tblSubscriptions[[#This Row],[churned]] = "Yes",1,0)</f>
        <v>1</v>
      </c>
      <c r="S28">
        <f t="shared" si="0"/>
        <v>1</v>
      </c>
      <c r="T28">
        <f t="shared" si="1"/>
        <v>1</v>
      </c>
      <c r="U28">
        <f t="shared" si="2"/>
        <v>0</v>
      </c>
      <c r="V28">
        <f t="shared" si="3"/>
        <v>2</v>
      </c>
      <c r="W28" t="str">
        <f t="shared" si="4"/>
        <v>High Risk</v>
      </c>
    </row>
    <row r="29" spans="1:23">
      <c r="A29" t="s">
        <v>99</v>
      </c>
      <c r="B29" t="s">
        <v>18</v>
      </c>
      <c r="C29" t="s">
        <v>29</v>
      </c>
      <c r="D29" t="s">
        <v>46</v>
      </c>
      <c r="E29" t="s">
        <v>21</v>
      </c>
      <c r="F29">
        <v>35</v>
      </c>
      <c r="G29">
        <v>410</v>
      </c>
      <c r="H29" t="s">
        <v>22</v>
      </c>
      <c r="I29" t="s">
        <v>84</v>
      </c>
      <c r="J29" s="1">
        <v>46020</v>
      </c>
      <c r="K29" t="s">
        <v>27</v>
      </c>
      <c r="L29" t="s">
        <v>31</v>
      </c>
      <c r="M29" t="s">
        <v>31</v>
      </c>
      <c r="N29">
        <v>8</v>
      </c>
      <c r="O29">
        <v>4</v>
      </c>
      <c r="P29">
        <v>53</v>
      </c>
      <c r="Q29" t="s">
        <v>27</v>
      </c>
      <c r="R29">
        <f>IF(tblSubscriptions[[#This Row],[churned]] = "Yes",1,0)</f>
        <v>0</v>
      </c>
      <c r="S29">
        <f t="shared" si="0"/>
        <v>0</v>
      </c>
      <c r="T29">
        <f t="shared" si="1"/>
        <v>1</v>
      </c>
      <c r="U29">
        <f t="shared" si="2"/>
        <v>0</v>
      </c>
      <c r="V29">
        <f t="shared" si="3"/>
        <v>1</v>
      </c>
      <c r="W29" t="str">
        <f t="shared" si="4"/>
        <v>Medium Risk</v>
      </c>
    </row>
    <row r="30" spans="1:23">
      <c r="A30" t="s">
        <v>100</v>
      </c>
      <c r="B30" t="s">
        <v>33</v>
      </c>
      <c r="C30" t="s">
        <v>19</v>
      </c>
      <c r="D30" t="s">
        <v>40</v>
      </c>
      <c r="E30" t="s">
        <v>41</v>
      </c>
      <c r="F30">
        <v>22</v>
      </c>
      <c r="G30">
        <v>120</v>
      </c>
      <c r="H30" t="s">
        <v>22</v>
      </c>
      <c r="I30" t="s">
        <v>23</v>
      </c>
      <c r="J30" s="1">
        <v>44901</v>
      </c>
      <c r="K30" t="s">
        <v>24</v>
      </c>
      <c r="L30" t="s">
        <v>101</v>
      </c>
      <c r="M30" t="s">
        <v>102</v>
      </c>
      <c r="N30">
        <v>4</v>
      </c>
      <c r="O30">
        <v>2</v>
      </c>
      <c r="P30">
        <v>17</v>
      </c>
      <c r="Q30" t="s">
        <v>27</v>
      </c>
      <c r="R30">
        <f>IF(tblSubscriptions[[#This Row],[churned]] = "Yes",1,0)</f>
        <v>1</v>
      </c>
      <c r="S30">
        <f t="shared" si="0"/>
        <v>1</v>
      </c>
      <c r="T30">
        <f t="shared" si="1"/>
        <v>1</v>
      </c>
      <c r="U30">
        <f t="shared" si="2"/>
        <v>0</v>
      </c>
      <c r="V30">
        <f t="shared" si="3"/>
        <v>2</v>
      </c>
      <c r="W30" t="str">
        <f t="shared" si="4"/>
        <v>High Risk</v>
      </c>
    </row>
    <row r="31" spans="1:23">
      <c r="A31" t="s">
        <v>103</v>
      </c>
      <c r="B31" t="s">
        <v>39</v>
      </c>
      <c r="C31" t="s">
        <v>29</v>
      </c>
      <c r="D31" t="s">
        <v>40</v>
      </c>
      <c r="E31" t="s">
        <v>35</v>
      </c>
      <c r="F31">
        <v>230</v>
      </c>
      <c r="G31">
        <v>5979</v>
      </c>
      <c r="H31" t="s">
        <v>36</v>
      </c>
      <c r="I31" t="s">
        <v>42</v>
      </c>
      <c r="J31" s="1">
        <v>45234</v>
      </c>
      <c r="K31" t="s">
        <v>27</v>
      </c>
      <c r="L31" t="s">
        <v>31</v>
      </c>
      <c r="M31" t="s">
        <v>31</v>
      </c>
      <c r="N31">
        <v>9</v>
      </c>
      <c r="O31">
        <v>3</v>
      </c>
      <c r="P31">
        <v>76</v>
      </c>
      <c r="Q31" t="s">
        <v>27</v>
      </c>
      <c r="R31">
        <f>IF(tblSubscriptions[[#This Row],[churned]] = "Yes",1,0)</f>
        <v>0</v>
      </c>
      <c r="S31">
        <f t="shared" si="0"/>
        <v>0</v>
      </c>
      <c r="T31">
        <f t="shared" si="1"/>
        <v>1</v>
      </c>
      <c r="U31">
        <f t="shared" si="2"/>
        <v>0</v>
      </c>
      <c r="V31">
        <f t="shared" si="3"/>
        <v>1</v>
      </c>
      <c r="W31" t="str">
        <f t="shared" si="4"/>
        <v>Medium Risk</v>
      </c>
    </row>
    <row r="32" spans="1:23">
      <c r="A32" t="s">
        <v>104</v>
      </c>
      <c r="B32" t="s">
        <v>39</v>
      </c>
      <c r="C32" t="s">
        <v>29</v>
      </c>
      <c r="D32" t="s">
        <v>34</v>
      </c>
      <c r="E32" t="s">
        <v>35</v>
      </c>
      <c r="F32">
        <v>174</v>
      </c>
      <c r="G32">
        <v>4559</v>
      </c>
      <c r="H32" t="s">
        <v>30</v>
      </c>
      <c r="I32" t="s">
        <v>42</v>
      </c>
      <c r="J32" s="1">
        <v>45493</v>
      </c>
      <c r="K32" t="s">
        <v>27</v>
      </c>
      <c r="L32" t="s">
        <v>31</v>
      </c>
      <c r="M32" t="s">
        <v>31</v>
      </c>
      <c r="N32">
        <v>8</v>
      </c>
      <c r="O32">
        <v>7</v>
      </c>
      <c r="P32">
        <v>84</v>
      </c>
      <c r="Q32" t="s">
        <v>27</v>
      </c>
      <c r="R32">
        <f>IF(tblSubscriptions[[#This Row],[churned]] = "Yes",1,0)</f>
        <v>0</v>
      </c>
      <c r="S32">
        <f t="shared" si="0"/>
        <v>0</v>
      </c>
      <c r="T32">
        <f t="shared" si="1"/>
        <v>0</v>
      </c>
      <c r="U32">
        <f t="shared" si="2"/>
        <v>0</v>
      </c>
      <c r="V32">
        <f t="shared" si="3"/>
        <v>0</v>
      </c>
      <c r="W32" t="str">
        <f t="shared" si="4"/>
        <v>Low Risk</v>
      </c>
    </row>
    <row r="33" spans="1:23">
      <c r="A33" t="s">
        <v>105</v>
      </c>
      <c r="B33" t="s">
        <v>87</v>
      </c>
      <c r="C33" t="s">
        <v>29</v>
      </c>
      <c r="D33" t="s">
        <v>46</v>
      </c>
      <c r="E33" t="s">
        <v>47</v>
      </c>
      <c r="F33">
        <v>5</v>
      </c>
      <c r="G33">
        <v>679</v>
      </c>
      <c r="H33" t="s">
        <v>48</v>
      </c>
      <c r="I33" t="s">
        <v>23</v>
      </c>
      <c r="J33" s="1">
        <v>45013</v>
      </c>
      <c r="K33" t="s">
        <v>27</v>
      </c>
      <c r="L33" t="s">
        <v>31</v>
      </c>
      <c r="M33" t="s">
        <v>31</v>
      </c>
      <c r="N33">
        <v>7</v>
      </c>
      <c r="O33">
        <v>8</v>
      </c>
      <c r="P33">
        <v>16</v>
      </c>
      <c r="Q33" t="s">
        <v>27</v>
      </c>
      <c r="R33">
        <f>IF(tblSubscriptions[[#This Row],[churned]] = "Yes",1,0)</f>
        <v>0</v>
      </c>
      <c r="S33">
        <f t="shared" si="0"/>
        <v>1</v>
      </c>
      <c r="T33">
        <f t="shared" si="1"/>
        <v>0</v>
      </c>
      <c r="U33">
        <f t="shared" si="2"/>
        <v>0</v>
      </c>
      <c r="V33">
        <f t="shared" si="3"/>
        <v>1</v>
      </c>
      <c r="W33" t="str">
        <f t="shared" si="4"/>
        <v>Medium Risk</v>
      </c>
    </row>
    <row r="34" spans="1:23">
      <c r="A34" t="s">
        <v>106</v>
      </c>
      <c r="B34" t="s">
        <v>33</v>
      </c>
      <c r="C34" t="s">
        <v>29</v>
      </c>
      <c r="D34" t="s">
        <v>97</v>
      </c>
      <c r="E34" t="s">
        <v>47</v>
      </c>
      <c r="F34">
        <v>6</v>
      </c>
      <c r="G34">
        <v>43</v>
      </c>
      <c r="H34" t="s">
        <v>22</v>
      </c>
      <c r="I34" t="s">
        <v>84</v>
      </c>
      <c r="J34" s="1">
        <v>45431</v>
      </c>
      <c r="K34" t="s">
        <v>24</v>
      </c>
      <c r="L34" t="s">
        <v>107</v>
      </c>
      <c r="M34" t="s">
        <v>75</v>
      </c>
      <c r="N34">
        <v>11</v>
      </c>
      <c r="O34">
        <v>3</v>
      </c>
      <c r="P34">
        <v>30</v>
      </c>
      <c r="Q34" t="s">
        <v>27</v>
      </c>
      <c r="R34">
        <f>IF(tblSubscriptions[[#This Row],[churned]] = "Yes",1,0)</f>
        <v>1</v>
      </c>
      <c r="S34">
        <f t="shared" si="0"/>
        <v>1</v>
      </c>
      <c r="T34">
        <f t="shared" si="1"/>
        <v>1</v>
      </c>
      <c r="U34">
        <f t="shared" si="2"/>
        <v>1</v>
      </c>
      <c r="V34">
        <f t="shared" si="3"/>
        <v>3</v>
      </c>
      <c r="W34" t="str">
        <f t="shared" si="4"/>
        <v>High Risk</v>
      </c>
    </row>
    <row r="35" spans="1:23">
      <c r="A35" t="s">
        <v>108</v>
      </c>
      <c r="B35" t="s">
        <v>87</v>
      </c>
      <c r="C35" t="s">
        <v>29</v>
      </c>
      <c r="D35" t="s">
        <v>73</v>
      </c>
      <c r="E35" t="s">
        <v>41</v>
      </c>
      <c r="F35">
        <v>35</v>
      </c>
      <c r="G35">
        <v>2587</v>
      </c>
      <c r="H35" t="s">
        <v>48</v>
      </c>
      <c r="I35" t="s">
        <v>23</v>
      </c>
      <c r="J35" s="1">
        <v>45194</v>
      </c>
      <c r="K35" t="s">
        <v>27</v>
      </c>
      <c r="L35" t="s">
        <v>31</v>
      </c>
      <c r="M35" t="s">
        <v>31</v>
      </c>
      <c r="N35">
        <v>5</v>
      </c>
      <c r="O35">
        <v>8</v>
      </c>
      <c r="P35">
        <v>33</v>
      </c>
      <c r="Q35" t="s">
        <v>24</v>
      </c>
      <c r="R35">
        <f>IF(tblSubscriptions[[#This Row],[churned]] = "Yes",1,0)</f>
        <v>0</v>
      </c>
      <c r="S35">
        <f t="shared" si="0"/>
        <v>1</v>
      </c>
      <c r="T35">
        <f t="shared" si="1"/>
        <v>0</v>
      </c>
      <c r="U35">
        <f t="shared" si="2"/>
        <v>0</v>
      </c>
      <c r="V35">
        <f t="shared" si="3"/>
        <v>1</v>
      </c>
      <c r="W35" t="str">
        <f t="shared" si="4"/>
        <v>Medium Risk</v>
      </c>
    </row>
    <row r="36" spans="1:23">
      <c r="A36" t="s">
        <v>109</v>
      </c>
      <c r="B36" t="s">
        <v>33</v>
      </c>
      <c r="C36" t="s">
        <v>19</v>
      </c>
      <c r="D36" t="s">
        <v>44</v>
      </c>
      <c r="E36" t="s">
        <v>21</v>
      </c>
      <c r="F36">
        <v>70</v>
      </c>
      <c r="G36">
        <v>329</v>
      </c>
      <c r="H36" t="s">
        <v>22</v>
      </c>
      <c r="I36" t="s">
        <v>84</v>
      </c>
      <c r="J36" s="1">
        <v>44689</v>
      </c>
      <c r="K36" t="s">
        <v>24</v>
      </c>
      <c r="L36" t="s">
        <v>110</v>
      </c>
      <c r="M36" t="s">
        <v>58</v>
      </c>
      <c r="N36">
        <v>0</v>
      </c>
      <c r="O36">
        <v>6</v>
      </c>
      <c r="P36">
        <v>30</v>
      </c>
      <c r="Q36" t="s">
        <v>27</v>
      </c>
      <c r="R36">
        <f>IF(tblSubscriptions[[#This Row],[churned]] = "Yes",1,0)</f>
        <v>1</v>
      </c>
      <c r="S36">
        <f t="shared" si="0"/>
        <v>1</v>
      </c>
      <c r="T36">
        <f t="shared" si="1"/>
        <v>1</v>
      </c>
      <c r="U36">
        <f t="shared" si="2"/>
        <v>0</v>
      </c>
      <c r="V36">
        <f t="shared" si="3"/>
        <v>2</v>
      </c>
      <c r="W36" t="str">
        <f t="shared" si="4"/>
        <v>High Risk</v>
      </c>
    </row>
    <row r="37" spans="1:23">
      <c r="A37" t="s">
        <v>111</v>
      </c>
      <c r="B37" t="s">
        <v>18</v>
      </c>
      <c r="C37" t="s">
        <v>19</v>
      </c>
      <c r="D37" t="s">
        <v>44</v>
      </c>
      <c r="E37" t="s">
        <v>47</v>
      </c>
      <c r="F37">
        <v>7</v>
      </c>
      <c r="G37">
        <v>150</v>
      </c>
      <c r="H37" t="s">
        <v>48</v>
      </c>
      <c r="I37" t="s">
        <v>84</v>
      </c>
      <c r="J37" s="1">
        <v>45038</v>
      </c>
      <c r="K37" t="s">
        <v>24</v>
      </c>
      <c r="L37" t="s">
        <v>112</v>
      </c>
      <c r="M37" t="s">
        <v>66</v>
      </c>
      <c r="N37">
        <v>10</v>
      </c>
      <c r="O37">
        <v>6</v>
      </c>
      <c r="P37">
        <v>16</v>
      </c>
      <c r="Q37" t="s">
        <v>27</v>
      </c>
      <c r="R37">
        <f>IF(tblSubscriptions[[#This Row],[churned]] = "Yes",1,0)</f>
        <v>1</v>
      </c>
      <c r="S37">
        <f t="shared" si="0"/>
        <v>1</v>
      </c>
      <c r="T37">
        <f t="shared" si="1"/>
        <v>1</v>
      </c>
      <c r="U37">
        <f t="shared" si="2"/>
        <v>0</v>
      </c>
      <c r="V37">
        <f t="shared" si="3"/>
        <v>2</v>
      </c>
      <c r="W37" t="str">
        <f t="shared" si="4"/>
        <v>High Risk</v>
      </c>
    </row>
    <row r="38" spans="1:23">
      <c r="A38" t="s">
        <v>113</v>
      </c>
      <c r="B38" t="s">
        <v>18</v>
      </c>
      <c r="C38" t="s">
        <v>19</v>
      </c>
      <c r="D38" t="s">
        <v>46</v>
      </c>
      <c r="E38" t="s">
        <v>47</v>
      </c>
      <c r="F38">
        <v>2</v>
      </c>
      <c r="G38">
        <v>91</v>
      </c>
      <c r="H38" t="s">
        <v>30</v>
      </c>
      <c r="I38" t="s">
        <v>23</v>
      </c>
      <c r="J38" s="1">
        <v>45457</v>
      </c>
      <c r="K38" t="s">
        <v>24</v>
      </c>
      <c r="L38" t="s">
        <v>114</v>
      </c>
      <c r="M38" t="s">
        <v>75</v>
      </c>
      <c r="N38">
        <v>11</v>
      </c>
      <c r="O38">
        <v>2</v>
      </c>
      <c r="P38">
        <v>34</v>
      </c>
      <c r="Q38" t="s">
        <v>27</v>
      </c>
      <c r="R38">
        <f>IF(tblSubscriptions[[#This Row],[churned]] = "Yes",1,0)</f>
        <v>1</v>
      </c>
      <c r="S38">
        <f t="shared" si="0"/>
        <v>1</v>
      </c>
      <c r="T38">
        <f t="shared" si="1"/>
        <v>1</v>
      </c>
      <c r="U38">
        <f t="shared" si="2"/>
        <v>1</v>
      </c>
      <c r="V38">
        <f t="shared" si="3"/>
        <v>3</v>
      </c>
      <c r="W38" t="str">
        <f t="shared" si="4"/>
        <v>High Risk</v>
      </c>
    </row>
    <row r="39" spans="1:23">
      <c r="A39" t="s">
        <v>115</v>
      </c>
      <c r="B39" t="s">
        <v>18</v>
      </c>
      <c r="C39" t="s">
        <v>19</v>
      </c>
      <c r="D39" t="s">
        <v>40</v>
      </c>
      <c r="E39" t="s">
        <v>47</v>
      </c>
      <c r="F39">
        <v>5</v>
      </c>
      <c r="G39">
        <v>126</v>
      </c>
      <c r="H39" t="s">
        <v>22</v>
      </c>
      <c r="I39" t="s">
        <v>42</v>
      </c>
      <c r="J39" s="1">
        <v>44718</v>
      </c>
      <c r="K39" t="s">
        <v>24</v>
      </c>
      <c r="L39" t="s">
        <v>116</v>
      </c>
      <c r="M39" t="s">
        <v>62</v>
      </c>
      <c r="N39">
        <v>6</v>
      </c>
      <c r="O39">
        <v>1</v>
      </c>
      <c r="P39">
        <v>30</v>
      </c>
      <c r="Q39" t="s">
        <v>27</v>
      </c>
      <c r="R39">
        <f>IF(tblSubscriptions[[#This Row],[churned]] = "Yes",1,0)</f>
        <v>1</v>
      </c>
      <c r="S39">
        <f t="shared" si="0"/>
        <v>1</v>
      </c>
      <c r="T39">
        <f t="shared" si="1"/>
        <v>1</v>
      </c>
      <c r="U39">
        <f t="shared" si="2"/>
        <v>0</v>
      </c>
      <c r="V39">
        <f t="shared" si="3"/>
        <v>2</v>
      </c>
      <c r="W39" t="str">
        <f t="shared" si="4"/>
        <v>High Risk</v>
      </c>
    </row>
    <row r="40" spans="1:23">
      <c r="A40" t="s">
        <v>117</v>
      </c>
      <c r="B40" t="s">
        <v>39</v>
      </c>
      <c r="C40" t="s">
        <v>29</v>
      </c>
      <c r="D40" t="s">
        <v>20</v>
      </c>
      <c r="E40" t="s">
        <v>21</v>
      </c>
      <c r="F40">
        <v>30</v>
      </c>
      <c r="G40">
        <v>905</v>
      </c>
      <c r="H40" t="s">
        <v>22</v>
      </c>
      <c r="I40" t="s">
        <v>64</v>
      </c>
      <c r="J40" s="1">
        <v>45414</v>
      </c>
      <c r="K40" t="s">
        <v>27</v>
      </c>
      <c r="L40" t="s">
        <v>31</v>
      </c>
      <c r="M40" t="s">
        <v>31</v>
      </c>
      <c r="N40">
        <v>4</v>
      </c>
      <c r="O40">
        <v>9</v>
      </c>
      <c r="P40">
        <v>71</v>
      </c>
      <c r="Q40" t="s">
        <v>24</v>
      </c>
      <c r="R40">
        <f>IF(tblSubscriptions[[#This Row],[churned]] = "Yes",1,0)</f>
        <v>0</v>
      </c>
      <c r="S40">
        <f t="shared" si="0"/>
        <v>0</v>
      </c>
      <c r="T40">
        <f t="shared" si="1"/>
        <v>0</v>
      </c>
      <c r="U40">
        <f t="shared" si="2"/>
        <v>0</v>
      </c>
      <c r="V40">
        <f t="shared" si="3"/>
        <v>0</v>
      </c>
      <c r="W40" t="str">
        <f t="shared" si="4"/>
        <v>Low Risk</v>
      </c>
    </row>
    <row r="41" spans="1:23">
      <c r="A41" t="s">
        <v>118</v>
      </c>
      <c r="B41" t="s">
        <v>39</v>
      </c>
      <c r="C41" t="s">
        <v>29</v>
      </c>
      <c r="D41" t="s">
        <v>56</v>
      </c>
      <c r="E41" t="s">
        <v>41</v>
      </c>
      <c r="F41">
        <v>24</v>
      </c>
      <c r="G41">
        <v>753</v>
      </c>
      <c r="H41" t="s">
        <v>30</v>
      </c>
      <c r="I41" t="s">
        <v>64</v>
      </c>
      <c r="J41" s="1">
        <v>45063</v>
      </c>
      <c r="K41" t="s">
        <v>27</v>
      </c>
      <c r="L41" t="s">
        <v>31</v>
      </c>
      <c r="M41" t="s">
        <v>31</v>
      </c>
      <c r="N41">
        <v>9</v>
      </c>
      <c r="O41">
        <v>2</v>
      </c>
      <c r="P41">
        <v>76</v>
      </c>
      <c r="Q41" t="s">
        <v>27</v>
      </c>
      <c r="R41">
        <f>IF(tblSubscriptions[[#This Row],[churned]] = "Yes",1,0)</f>
        <v>0</v>
      </c>
      <c r="S41">
        <f t="shared" si="0"/>
        <v>0</v>
      </c>
      <c r="T41">
        <f t="shared" si="1"/>
        <v>1</v>
      </c>
      <c r="U41">
        <f t="shared" si="2"/>
        <v>0</v>
      </c>
      <c r="V41">
        <f t="shared" si="3"/>
        <v>1</v>
      </c>
      <c r="W41" t="str">
        <f t="shared" si="4"/>
        <v>Medium Risk</v>
      </c>
    </row>
    <row r="42" spans="1:23">
      <c r="A42" t="s">
        <v>119</v>
      </c>
      <c r="B42" t="s">
        <v>33</v>
      </c>
      <c r="C42" t="s">
        <v>19</v>
      </c>
      <c r="D42" t="s">
        <v>73</v>
      </c>
      <c r="E42" t="s">
        <v>21</v>
      </c>
      <c r="F42">
        <v>53</v>
      </c>
      <c r="G42">
        <v>255</v>
      </c>
      <c r="H42" t="s">
        <v>48</v>
      </c>
      <c r="I42" t="s">
        <v>64</v>
      </c>
      <c r="J42" s="1">
        <v>44916</v>
      </c>
      <c r="K42" t="s">
        <v>24</v>
      </c>
      <c r="L42" t="s">
        <v>120</v>
      </c>
      <c r="M42" t="s">
        <v>52</v>
      </c>
      <c r="N42">
        <v>4</v>
      </c>
      <c r="O42">
        <v>5</v>
      </c>
      <c r="P42">
        <v>45</v>
      </c>
      <c r="Q42" t="s">
        <v>27</v>
      </c>
      <c r="R42">
        <f>IF(tblSubscriptions[[#This Row],[churned]] = "Yes",1,0)</f>
        <v>1</v>
      </c>
      <c r="S42">
        <f t="shared" si="0"/>
        <v>1</v>
      </c>
      <c r="T42">
        <f t="shared" si="1"/>
        <v>1</v>
      </c>
      <c r="U42">
        <f t="shared" si="2"/>
        <v>0</v>
      </c>
      <c r="V42">
        <f t="shared" si="3"/>
        <v>2</v>
      </c>
      <c r="W42" t="str">
        <f t="shared" si="4"/>
        <v>High Risk</v>
      </c>
    </row>
    <row r="43" spans="1:23">
      <c r="A43" t="s">
        <v>121</v>
      </c>
      <c r="B43" t="s">
        <v>33</v>
      </c>
      <c r="C43" t="s">
        <v>19</v>
      </c>
      <c r="D43" t="s">
        <v>40</v>
      </c>
      <c r="E43" t="s">
        <v>21</v>
      </c>
      <c r="F43">
        <v>34</v>
      </c>
      <c r="G43">
        <v>173</v>
      </c>
      <c r="H43" t="s">
        <v>36</v>
      </c>
      <c r="I43" t="s">
        <v>42</v>
      </c>
      <c r="J43" s="1">
        <v>45661</v>
      </c>
      <c r="K43" t="s">
        <v>27</v>
      </c>
      <c r="L43" t="s">
        <v>31</v>
      </c>
      <c r="M43" t="s">
        <v>31</v>
      </c>
      <c r="N43">
        <v>9</v>
      </c>
      <c r="O43">
        <v>2</v>
      </c>
      <c r="P43">
        <v>73</v>
      </c>
      <c r="Q43" t="s">
        <v>27</v>
      </c>
      <c r="R43">
        <f>IF(tblSubscriptions[[#This Row],[churned]] = "Yes",1,0)</f>
        <v>0</v>
      </c>
      <c r="S43">
        <f t="shared" si="0"/>
        <v>0</v>
      </c>
      <c r="T43">
        <f t="shared" si="1"/>
        <v>1</v>
      </c>
      <c r="U43">
        <f t="shared" si="2"/>
        <v>0</v>
      </c>
      <c r="V43">
        <f t="shared" si="3"/>
        <v>1</v>
      </c>
      <c r="W43" t="str">
        <f t="shared" si="4"/>
        <v>Medium Risk</v>
      </c>
    </row>
    <row r="44" spans="1:23">
      <c r="A44" t="s">
        <v>122</v>
      </c>
      <c r="B44" t="s">
        <v>18</v>
      </c>
      <c r="C44" t="s">
        <v>29</v>
      </c>
      <c r="D44" t="s">
        <v>44</v>
      </c>
      <c r="E44" t="s">
        <v>47</v>
      </c>
      <c r="F44">
        <v>2</v>
      </c>
      <c r="G44">
        <v>77</v>
      </c>
      <c r="H44" t="s">
        <v>70</v>
      </c>
      <c r="I44" t="s">
        <v>42</v>
      </c>
      <c r="J44" s="1">
        <v>44612</v>
      </c>
      <c r="K44" t="s">
        <v>27</v>
      </c>
      <c r="L44" t="s">
        <v>31</v>
      </c>
      <c r="M44" t="s">
        <v>31</v>
      </c>
      <c r="N44">
        <v>9</v>
      </c>
      <c r="O44">
        <v>9</v>
      </c>
      <c r="P44">
        <v>20</v>
      </c>
      <c r="Q44" t="s">
        <v>27</v>
      </c>
      <c r="R44">
        <f>IF(tblSubscriptions[[#This Row],[churned]] = "Yes",1,0)</f>
        <v>0</v>
      </c>
      <c r="S44">
        <f t="shared" si="0"/>
        <v>1</v>
      </c>
      <c r="T44">
        <f t="shared" si="1"/>
        <v>0</v>
      </c>
      <c r="U44">
        <f t="shared" si="2"/>
        <v>0</v>
      </c>
      <c r="V44">
        <f t="shared" si="3"/>
        <v>1</v>
      </c>
      <c r="W44" t="str">
        <f t="shared" si="4"/>
        <v>Medium Risk</v>
      </c>
    </row>
    <row r="45" spans="1:23">
      <c r="A45" t="s">
        <v>123</v>
      </c>
      <c r="B45" t="s">
        <v>18</v>
      </c>
      <c r="C45" t="s">
        <v>29</v>
      </c>
      <c r="D45" t="s">
        <v>83</v>
      </c>
      <c r="E45" t="s">
        <v>47</v>
      </c>
      <c r="F45">
        <v>2</v>
      </c>
      <c r="G45">
        <v>77</v>
      </c>
      <c r="H45" t="s">
        <v>124</v>
      </c>
      <c r="I45" t="s">
        <v>23</v>
      </c>
      <c r="J45" s="1">
        <v>44678</v>
      </c>
      <c r="K45" t="s">
        <v>24</v>
      </c>
      <c r="L45" t="s">
        <v>125</v>
      </c>
      <c r="M45" t="s">
        <v>26</v>
      </c>
      <c r="N45">
        <v>7</v>
      </c>
      <c r="O45">
        <v>6</v>
      </c>
      <c r="P45">
        <v>20</v>
      </c>
      <c r="Q45" t="s">
        <v>27</v>
      </c>
      <c r="R45">
        <f>IF(tblSubscriptions[[#This Row],[churned]] = "Yes",1,0)</f>
        <v>1</v>
      </c>
      <c r="S45">
        <f t="shared" si="0"/>
        <v>1</v>
      </c>
      <c r="T45">
        <f t="shared" si="1"/>
        <v>1</v>
      </c>
      <c r="U45">
        <f t="shared" si="2"/>
        <v>0</v>
      </c>
      <c r="V45">
        <f t="shared" si="3"/>
        <v>2</v>
      </c>
      <c r="W45" t="str">
        <f t="shared" si="4"/>
        <v>High Risk</v>
      </c>
    </row>
    <row r="46" spans="1:23">
      <c r="A46" t="s">
        <v>126</v>
      </c>
      <c r="B46" t="s">
        <v>33</v>
      </c>
      <c r="C46" t="s">
        <v>19</v>
      </c>
      <c r="D46" t="s">
        <v>20</v>
      </c>
      <c r="E46" t="s">
        <v>41</v>
      </c>
      <c r="F46">
        <v>7</v>
      </c>
      <c r="G46">
        <v>55</v>
      </c>
      <c r="H46" t="s">
        <v>124</v>
      </c>
      <c r="I46" t="s">
        <v>84</v>
      </c>
      <c r="J46" s="1">
        <v>45910</v>
      </c>
      <c r="K46" t="s">
        <v>27</v>
      </c>
      <c r="L46" t="s">
        <v>31</v>
      </c>
      <c r="M46" t="s">
        <v>31</v>
      </c>
      <c r="N46">
        <v>12</v>
      </c>
      <c r="O46">
        <v>4</v>
      </c>
      <c r="P46">
        <v>67</v>
      </c>
      <c r="Q46" t="s">
        <v>27</v>
      </c>
      <c r="R46">
        <f>IF(tblSubscriptions[[#This Row],[churned]] = "Yes",1,0)</f>
        <v>0</v>
      </c>
      <c r="S46">
        <f t="shared" si="0"/>
        <v>0</v>
      </c>
      <c r="T46">
        <f t="shared" si="1"/>
        <v>1</v>
      </c>
      <c r="U46">
        <f t="shared" si="2"/>
        <v>1</v>
      </c>
      <c r="V46">
        <f t="shared" si="3"/>
        <v>2</v>
      </c>
      <c r="W46" t="str">
        <f t="shared" si="4"/>
        <v>High Risk</v>
      </c>
    </row>
    <row r="47" spans="1:23">
      <c r="A47" t="s">
        <v>127</v>
      </c>
      <c r="B47" t="s">
        <v>18</v>
      </c>
      <c r="C47" t="s">
        <v>19</v>
      </c>
      <c r="D47" t="s">
        <v>34</v>
      </c>
      <c r="E47" t="s">
        <v>47</v>
      </c>
      <c r="F47">
        <v>4</v>
      </c>
      <c r="G47">
        <v>115</v>
      </c>
      <c r="H47" t="s">
        <v>70</v>
      </c>
      <c r="I47" t="s">
        <v>23</v>
      </c>
      <c r="J47" s="1">
        <v>45114</v>
      </c>
      <c r="K47" t="s">
        <v>24</v>
      </c>
      <c r="L47" t="s">
        <v>128</v>
      </c>
      <c r="M47" t="s">
        <v>102</v>
      </c>
      <c r="N47">
        <v>1</v>
      </c>
      <c r="O47">
        <v>6</v>
      </c>
      <c r="P47">
        <v>42</v>
      </c>
      <c r="Q47" t="s">
        <v>27</v>
      </c>
      <c r="R47">
        <f>IF(tblSubscriptions[[#This Row],[churned]] = "Yes",1,0)</f>
        <v>1</v>
      </c>
      <c r="S47">
        <f t="shared" si="0"/>
        <v>1</v>
      </c>
      <c r="T47">
        <f t="shared" si="1"/>
        <v>1</v>
      </c>
      <c r="U47">
        <f t="shared" si="2"/>
        <v>0</v>
      </c>
      <c r="V47">
        <f t="shared" si="3"/>
        <v>2</v>
      </c>
      <c r="W47" t="str">
        <f t="shared" si="4"/>
        <v>High Risk</v>
      </c>
    </row>
    <row r="48" spans="1:23">
      <c r="A48" t="s">
        <v>129</v>
      </c>
      <c r="B48" t="s">
        <v>39</v>
      </c>
      <c r="C48" t="s">
        <v>19</v>
      </c>
      <c r="D48" t="s">
        <v>56</v>
      </c>
      <c r="E48" t="s">
        <v>47</v>
      </c>
      <c r="F48">
        <v>5</v>
      </c>
      <c r="G48">
        <v>318</v>
      </c>
      <c r="H48" t="s">
        <v>36</v>
      </c>
      <c r="I48" t="s">
        <v>23</v>
      </c>
      <c r="J48" s="1">
        <v>44943</v>
      </c>
      <c r="K48" t="s">
        <v>24</v>
      </c>
      <c r="L48" t="s">
        <v>130</v>
      </c>
      <c r="M48" t="s">
        <v>75</v>
      </c>
      <c r="N48">
        <v>15</v>
      </c>
      <c r="O48">
        <v>4</v>
      </c>
      <c r="P48">
        <v>46</v>
      </c>
      <c r="Q48" t="s">
        <v>27</v>
      </c>
      <c r="R48">
        <f>IF(tblSubscriptions[[#This Row],[churned]] = "Yes",1,0)</f>
        <v>1</v>
      </c>
      <c r="S48">
        <f t="shared" si="0"/>
        <v>1</v>
      </c>
      <c r="T48">
        <f t="shared" si="1"/>
        <v>1</v>
      </c>
      <c r="U48">
        <f t="shared" si="2"/>
        <v>1</v>
      </c>
      <c r="V48">
        <f t="shared" si="3"/>
        <v>3</v>
      </c>
      <c r="W48" t="str">
        <f t="shared" si="4"/>
        <v>High Risk</v>
      </c>
    </row>
    <row r="49" spans="1:23">
      <c r="A49" t="s">
        <v>131</v>
      </c>
      <c r="B49" t="s">
        <v>39</v>
      </c>
      <c r="C49" t="s">
        <v>29</v>
      </c>
      <c r="D49" t="s">
        <v>73</v>
      </c>
      <c r="E49" t="s">
        <v>47</v>
      </c>
      <c r="F49">
        <v>4</v>
      </c>
      <c r="G49">
        <v>245</v>
      </c>
      <c r="H49" t="s">
        <v>48</v>
      </c>
      <c r="I49" t="s">
        <v>42</v>
      </c>
      <c r="J49" s="1">
        <v>44669</v>
      </c>
      <c r="K49" t="s">
        <v>24</v>
      </c>
      <c r="L49" t="s">
        <v>132</v>
      </c>
      <c r="M49" t="s">
        <v>62</v>
      </c>
      <c r="N49">
        <v>4</v>
      </c>
      <c r="O49">
        <v>5</v>
      </c>
      <c r="P49">
        <v>16</v>
      </c>
      <c r="Q49" t="s">
        <v>27</v>
      </c>
      <c r="R49">
        <f>IF(tblSubscriptions[[#This Row],[churned]] = "Yes",1,0)</f>
        <v>1</v>
      </c>
      <c r="S49">
        <f t="shared" si="0"/>
        <v>1</v>
      </c>
      <c r="T49">
        <f t="shared" si="1"/>
        <v>1</v>
      </c>
      <c r="U49">
        <f t="shared" si="2"/>
        <v>0</v>
      </c>
      <c r="V49">
        <f t="shared" si="3"/>
        <v>2</v>
      </c>
      <c r="W49" t="str">
        <f t="shared" si="4"/>
        <v>High Risk</v>
      </c>
    </row>
    <row r="50" spans="1:23">
      <c r="A50" t="s">
        <v>133</v>
      </c>
      <c r="B50" t="s">
        <v>18</v>
      </c>
      <c r="C50" t="s">
        <v>19</v>
      </c>
      <c r="D50" t="s">
        <v>40</v>
      </c>
      <c r="E50" t="s">
        <v>21</v>
      </c>
      <c r="F50">
        <v>36</v>
      </c>
      <c r="G50">
        <v>494</v>
      </c>
      <c r="H50" t="s">
        <v>36</v>
      </c>
      <c r="I50" t="s">
        <v>64</v>
      </c>
      <c r="J50" s="1">
        <v>44699</v>
      </c>
      <c r="K50" t="s">
        <v>24</v>
      </c>
      <c r="L50" t="s">
        <v>134</v>
      </c>
      <c r="M50" t="s">
        <v>52</v>
      </c>
      <c r="N50">
        <v>1</v>
      </c>
      <c r="O50">
        <v>6</v>
      </c>
      <c r="P50">
        <v>26</v>
      </c>
      <c r="Q50" t="s">
        <v>27</v>
      </c>
      <c r="R50">
        <f>IF(tblSubscriptions[[#This Row],[churned]] = "Yes",1,0)</f>
        <v>1</v>
      </c>
      <c r="S50">
        <f t="shared" si="0"/>
        <v>1</v>
      </c>
      <c r="T50">
        <f t="shared" si="1"/>
        <v>1</v>
      </c>
      <c r="U50">
        <f t="shared" si="2"/>
        <v>0</v>
      </c>
      <c r="V50">
        <f t="shared" si="3"/>
        <v>2</v>
      </c>
      <c r="W50" t="str">
        <f t="shared" si="4"/>
        <v>High Risk</v>
      </c>
    </row>
    <row r="51" spans="1:23">
      <c r="A51" t="s">
        <v>135</v>
      </c>
      <c r="B51" t="s">
        <v>33</v>
      </c>
      <c r="C51" t="s">
        <v>29</v>
      </c>
      <c r="D51" t="s">
        <v>60</v>
      </c>
      <c r="E51" t="s">
        <v>47</v>
      </c>
      <c r="F51">
        <v>7</v>
      </c>
      <c r="G51">
        <v>47</v>
      </c>
      <c r="H51" t="s">
        <v>22</v>
      </c>
      <c r="I51" t="s">
        <v>23</v>
      </c>
      <c r="J51" s="1">
        <v>44734</v>
      </c>
      <c r="K51" t="s">
        <v>24</v>
      </c>
      <c r="L51" t="s">
        <v>136</v>
      </c>
      <c r="M51" t="s">
        <v>26</v>
      </c>
      <c r="N51">
        <v>2</v>
      </c>
      <c r="O51">
        <v>3</v>
      </c>
      <c r="P51">
        <v>38</v>
      </c>
      <c r="Q51" t="s">
        <v>27</v>
      </c>
      <c r="R51">
        <f>IF(tblSubscriptions[[#This Row],[churned]] = "Yes",1,0)</f>
        <v>1</v>
      </c>
      <c r="S51">
        <f t="shared" si="0"/>
        <v>1</v>
      </c>
      <c r="T51">
        <f t="shared" si="1"/>
        <v>1</v>
      </c>
      <c r="U51">
        <f t="shared" si="2"/>
        <v>0</v>
      </c>
      <c r="V51">
        <f t="shared" si="3"/>
        <v>2</v>
      </c>
      <c r="W51" t="str">
        <f t="shared" si="4"/>
        <v>High Risk</v>
      </c>
    </row>
    <row r="52" spans="1:23">
      <c r="A52" t="s">
        <v>137</v>
      </c>
      <c r="B52" t="s">
        <v>18</v>
      </c>
      <c r="C52" t="s">
        <v>19</v>
      </c>
      <c r="D52" t="s">
        <v>97</v>
      </c>
      <c r="E52" t="s">
        <v>21</v>
      </c>
      <c r="F52">
        <v>58</v>
      </c>
      <c r="G52">
        <v>754</v>
      </c>
      <c r="H52" t="s">
        <v>36</v>
      </c>
      <c r="I52" t="s">
        <v>42</v>
      </c>
      <c r="J52" s="1">
        <v>44922</v>
      </c>
      <c r="K52" t="s">
        <v>24</v>
      </c>
      <c r="L52" t="s">
        <v>138</v>
      </c>
      <c r="M52" t="s">
        <v>26</v>
      </c>
      <c r="N52">
        <v>10</v>
      </c>
      <c r="O52">
        <v>3</v>
      </c>
      <c r="P52">
        <v>29</v>
      </c>
      <c r="Q52" t="s">
        <v>27</v>
      </c>
      <c r="R52">
        <f>IF(tblSubscriptions[[#This Row],[churned]] = "Yes",1,0)</f>
        <v>1</v>
      </c>
      <c r="S52">
        <f t="shared" si="0"/>
        <v>1</v>
      </c>
      <c r="T52">
        <f t="shared" si="1"/>
        <v>1</v>
      </c>
      <c r="U52">
        <f t="shared" si="2"/>
        <v>0</v>
      </c>
      <c r="V52">
        <f t="shared" si="3"/>
        <v>2</v>
      </c>
      <c r="W52" t="str">
        <f t="shared" si="4"/>
        <v>High Risk</v>
      </c>
    </row>
    <row r="53" spans="1:23">
      <c r="A53" t="s">
        <v>139</v>
      </c>
      <c r="B53" t="s">
        <v>33</v>
      </c>
      <c r="C53" t="s">
        <v>19</v>
      </c>
      <c r="D53" t="s">
        <v>60</v>
      </c>
      <c r="E53" t="s">
        <v>50</v>
      </c>
      <c r="F53">
        <v>138</v>
      </c>
      <c r="G53">
        <v>625</v>
      </c>
      <c r="H53" t="s">
        <v>48</v>
      </c>
      <c r="I53" t="s">
        <v>23</v>
      </c>
      <c r="J53" s="1">
        <v>45732</v>
      </c>
      <c r="K53" t="s">
        <v>24</v>
      </c>
      <c r="L53" t="s">
        <v>140</v>
      </c>
      <c r="M53" t="s">
        <v>62</v>
      </c>
      <c r="N53">
        <v>0</v>
      </c>
      <c r="O53">
        <v>1</v>
      </c>
      <c r="P53">
        <v>38</v>
      </c>
      <c r="Q53" t="s">
        <v>27</v>
      </c>
      <c r="R53">
        <f>IF(tblSubscriptions[[#This Row],[churned]] = "Yes",1,0)</f>
        <v>1</v>
      </c>
      <c r="S53">
        <f t="shared" si="0"/>
        <v>1</v>
      </c>
      <c r="T53">
        <f t="shared" si="1"/>
        <v>1</v>
      </c>
      <c r="U53">
        <f t="shared" si="2"/>
        <v>0</v>
      </c>
      <c r="V53">
        <f t="shared" si="3"/>
        <v>2</v>
      </c>
      <c r="W53" t="str">
        <f t="shared" si="4"/>
        <v>High Risk</v>
      </c>
    </row>
    <row r="54" spans="1:23">
      <c r="A54" t="s">
        <v>141</v>
      </c>
      <c r="B54" t="s">
        <v>33</v>
      </c>
      <c r="C54" t="s">
        <v>19</v>
      </c>
      <c r="D54" t="s">
        <v>44</v>
      </c>
      <c r="E54" t="s">
        <v>47</v>
      </c>
      <c r="F54">
        <v>4</v>
      </c>
      <c r="G54">
        <v>42</v>
      </c>
      <c r="H54" t="s">
        <v>22</v>
      </c>
      <c r="I54" t="s">
        <v>23</v>
      </c>
      <c r="J54" s="1">
        <v>45750</v>
      </c>
      <c r="K54" t="s">
        <v>24</v>
      </c>
      <c r="L54" t="s">
        <v>142</v>
      </c>
      <c r="M54" t="s">
        <v>26</v>
      </c>
      <c r="N54">
        <v>1</v>
      </c>
      <c r="O54">
        <v>2</v>
      </c>
      <c r="P54">
        <v>43</v>
      </c>
      <c r="Q54" t="s">
        <v>27</v>
      </c>
      <c r="R54">
        <f>IF(tblSubscriptions[[#This Row],[churned]] = "Yes",1,0)</f>
        <v>1</v>
      </c>
      <c r="S54">
        <f t="shared" si="0"/>
        <v>1</v>
      </c>
      <c r="T54">
        <f t="shared" si="1"/>
        <v>1</v>
      </c>
      <c r="U54">
        <f t="shared" si="2"/>
        <v>0</v>
      </c>
      <c r="V54">
        <f t="shared" si="3"/>
        <v>2</v>
      </c>
      <c r="W54" t="str">
        <f t="shared" si="4"/>
        <v>High Risk</v>
      </c>
    </row>
    <row r="55" spans="1:23">
      <c r="A55" t="s">
        <v>143</v>
      </c>
      <c r="B55" t="s">
        <v>18</v>
      </c>
      <c r="C55" t="s">
        <v>29</v>
      </c>
      <c r="D55" t="s">
        <v>60</v>
      </c>
      <c r="E55" t="s">
        <v>50</v>
      </c>
      <c r="F55">
        <v>82</v>
      </c>
      <c r="G55">
        <v>883</v>
      </c>
      <c r="H55" t="s">
        <v>124</v>
      </c>
      <c r="I55" t="s">
        <v>23</v>
      </c>
      <c r="J55" s="1">
        <v>45466</v>
      </c>
      <c r="K55" t="s">
        <v>27</v>
      </c>
      <c r="L55" t="s">
        <v>31</v>
      </c>
      <c r="M55" t="s">
        <v>31</v>
      </c>
      <c r="N55">
        <v>4</v>
      </c>
      <c r="O55">
        <v>8</v>
      </c>
      <c r="P55">
        <v>81</v>
      </c>
      <c r="Q55" t="s">
        <v>27</v>
      </c>
      <c r="R55">
        <f>IF(tblSubscriptions[[#This Row],[churned]] = "Yes",1,0)</f>
        <v>0</v>
      </c>
      <c r="S55">
        <f t="shared" si="0"/>
        <v>0</v>
      </c>
      <c r="T55">
        <f t="shared" si="1"/>
        <v>0</v>
      </c>
      <c r="U55">
        <f t="shared" si="2"/>
        <v>0</v>
      </c>
      <c r="V55">
        <f t="shared" si="3"/>
        <v>0</v>
      </c>
      <c r="W55" t="str">
        <f t="shared" si="4"/>
        <v>Low Risk</v>
      </c>
    </row>
    <row r="56" spans="1:23">
      <c r="A56" t="s">
        <v>144</v>
      </c>
      <c r="B56" t="s">
        <v>39</v>
      </c>
      <c r="C56" t="s">
        <v>19</v>
      </c>
      <c r="D56" t="s">
        <v>44</v>
      </c>
      <c r="E56" t="s">
        <v>47</v>
      </c>
      <c r="F56">
        <v>7</v>
      </c>
      <c r="G56">
        <v>378</v>
      </c>
      <c r="H56" t="s">
        <v>22</v>
      </c>
      <c r="I56" t="s">
        <v>23</v>
      </c>
      <c r="J56" s="1">
        <v>44664</v>
      </c>
      <c r="K56" t="s">
        <v>24</v>
      </c>
      <c r="L56" t="s">
        <v>145</v>
      </c>
      <c r="M56" t="s">
        <v>102</v>
      </c>
      <c r="N56">
        <v>6</v>
      </c>
      <c r="O56">
        <v>2</v>
      </c>
      <c r="P56">
        <v>21</v>
      </c>
      <c r="Q56" t="s">
        <v>27</v>
      </c>
      <c r="R56">
        <f>IF(tblSubscriptions[[#This Row],[churned]] = "Yes",1,0)</f>
        <v>1</v>
      </c>
      <c r="S56">
        <f t="shared" si="0"/>
        <v>1</v>
      </c>
      <c r="T56">
        <f t="shared" si="1"/>
        <v>1</v>
      </c>
      <c r="U56">
        <f t="shared" si="2"/>
        <v>0</v>
      </c>
      <c r="V56">
        <f t="shared" si="3"/>
        <v>2</v>
      </c>
      <c r="W56" t="str">
        <f t="shared" si="4"/>
        <v>High Risk</v>
      </c>
    </row>
    <row r="57" spans="1:23">
      <c r="A57" t="s">
        <v>146</v>
      </c>
      <c r="B57" t="s">
        <v>39</v>
      </c>
      <c r="C57" t="s">
        <v>19</v>
      </c>
      <c r="D57" t="s">
        <v>46</v>
      </c>
      <c r="E57" t="s">
        <v>41</v>
      </c>
      <c r="F57">
        <v>14</v>
      </c>
      <c r="G57">
        <v>587</v>
      </c>
      <c r="H57" t="s">
        <v>70</v>
      </c>
      <c r="I57" t="s">
        <v>23</v>
      </c>
      <c r="J57" s="1">
        <v>45649</v>
      </c>
      <c r="K57" t="s">
        <v>24</v>
      </c>
      <c r="L57" t="s">
        <v>147</v>
      </c>
      <c r="M57" t="s">
        <v>102</v>
      </c>
      <c r="N57">
        <v>3</v>
      </c>
      <c r="O57">
        <v>2</v>
      </c>
      <c r="P57">
        <v>37</v>
      </c>
      <c r="Q57" t="s">
        <v>27</v>
      </c>
      <c r="R57">
        <f>IF(tblSubscriptions[[#This Row],[churned]] = "Yes",1,0)</f>
        <v>1</v>
      </c>
      <c r="S57">
        <f t="shared" si="0"/>
        <v>1</v>
      </c>
      <c r="T57">
        <f t="shared" si="1"/>
        <v>1</v>
      </c>
      <c r="U57">
        <f t="shared" si="2"/>
        <v>0</v>
      </c>
      <c r="V57">
        <f t="shared" si="3"/>
        <v>2</v>
      </c>
      <c r="W57" t="str">
        <f t="shared" si="4"/>
        <v>High Risk</v>
      </c>
    </row>
    <row r="58" spans="1:23">
      <c r="A58" t="s">
        <v>148</v>
      </c>
      <c r="B58" t="s">
        <v>18</v>
      </c>
      <c r="C58" t="s">
        <v>29</v>
      </c>
      <c r="D58" t="s">
        <v>60</v>
      </c>
      <c r="E58" t="s">
        <v>41</v>
      </c>
      <c r="F58">
        <v>34</v>
      </c>
      <c r="G58">
        <v>400</v>
      </c>
      <c r="H58" t="s">
        <v>48</v>
      </c>
      <c r="I58" t="s">
        <v>23</v>
      </c>
      <c r="J58" s="1">
        <v>45485</v>
      </c>
      <c r="K58" t="s">
        <v>24</v>
      </c>
      <c r="L58" t="s">
        <v>149</v>
      </c>
      <c r="M58" t="s">
        <v>75</v>
      </c>
      <c r="N58">
        <v>1</v>
      </c>
      <c r="O58">
        <v>1</v>
      </c>
      <c r="P58">
        <v>10</v>
      </c>
      <c r="Q58" t="s">
        <v>27</v>
      </c>
      <c r="R58">
        <f>IF(tblSubscriptions[[#This Row],[churned]] = "Yes",1,0)</f>
        <v>1</v>
      </c>
      <c r="S58">
        <f t="shared" si="0"/>
        <v>1</v>
      </c>
      <c r="T58">
        <f t="shared" si="1"/>
        <v>1</v>
      </c>
      <c r="U58">
        <f t="shared" si="2"/>
        <v>0</v>
      </c>
      <c r="V58">
        <f t="shared" si="3"/>
        <v>2</v>
      </c>
      <c r="W58" t="str">
        <f t="shared" si="4"/>
        <v>High Risk</v>
      </c>
    </row>
    <row r="59" spans="1:23">
      <c r="A59" t="s">
        <v>150</v>
      </c>
      <c r="B59" t="s">
        <v>33</v>
      </c>
      <c r="C59" t="s">
        <v>19</v>
      </c>
      <c r="D59" t="s">
        <v>40</v>
      </c>
      <c r="E59" t="s">
        <v>50</v>
      </c>
      <c r="F59">
        <v>48</v>
      </c>
      <c r="G59">
        <v>233</v>
      </c>
      <c r="H59" t="s">
        <v>48</v>
      </c>
      <c r="I59" t="s">
        <v>42</v>
      </c>
      <c r="J59" s="1">
        <v>44814</v>
      </c>
      <c r="K59" t="s">
        <v>24</v>
      </c>
      <c r="L59" t="s">
        <v>151</v>
      </c>
      <c r="M59" t="s">
        <v>26</v>
      </c>
      <c r="N59">
        <v>2</v>
      </c>
      <c r="O59">
        <v>1</v>
      </c>
      <c r="P59">
        <v>12</v>
      </c>
      <c r="Q59" t="s">
        <v>27</v>
      </c>
      <c r="R59">
        <f>IF(tblSubscriptions[[#This Row],[churned]] = "Yes",1,0)</f>
        <v>1</v>
      </c>
      <c r="S59">
        <f t="shared" si="0"/>
        <v>1</v>
      </c>
      <c r="T59">
        <f t="shared" si="1"/>
        <v>1</v>
      </c>
      <c r="U59">
        <f t="shared" si="2"/>
        <v>0</v>
      </c>
      <c r="V59">
        <f t="shared" si="3"/>
        <v>2</v>
      </c>
      <c r="W59" t="str">
        <f t="shared" si="4"/>
        <v>High Risk</v>
      </c>
    </row>
    <row r="60" spans="1:23">
      <c r="A60" t="s">
        <v>152</v>
      </c>
      <c r="B60" t="s">
        <v>18</v>
      </c>
      <c r="C60" t="s">
        <v>29</v>
      </c>
      <c r="D60" t="s">
        <v>60</v>
      </c>
      <c r="E60" t="s">
        <v>41</v>
      </c>
      <c r="F60">
        <v>28</v>
      </c>
      <c r="G60">
        <v>339</v>
      </c>
      <c r="H60" t="s">
        <v>124</v>
      </c>
      <c r="I60" t="s">
        <v>23</v>
      </c>
      <c r="J60" s="1">
        <v>45290</v>
      </c>
      <c r="K60" t="s">
        <v>24</v>
      </c>
      <c r="L60" t="s">
        <v>153</v>
      </c>
      <c r="M60" t="s">
        <v>102</v>
      </c>
      <c r="N60">
        <v>5</v>
      </c>
      <c r="O60">
        <v>1</v>
      </c>
      <c r="P60">
        <v>13</v>
      </c>
      <c r="Q60" t="s">
        <v>27</v>
      </c>
      <c r="R60">
        <f>IF(tblSubscriptions[[#This Row],[churned]] = "Yes",1,0)</f>
        <v>1</v>
      </c>
      <c r="S60">
        <f t="shared" si="0"/>
        <v>1</v>
      </c>
      <c r="T60">
        <f t="shared" si="1"/>
        <v>1</v>
      </c>
      <c r="U60">
        <f t="shared" si="2"/>
        <v>0</v>
      </c>
      <c r="V60">
        <f t="shared" si="3"/>
        <v>2</v>
      </c>
      <c r="W60" t="str">
        <f t="shared" si="4"/>
        <v>High Risk</v>
      </c>
    </row>
    <row r="61" spans="1:23">
      <c r="A61" t="s">
        <v>154</v>
      </c>
      <c r="B61" t="s">
        <v>18</v>
      </c>
      <c r="C61" t="s">
        <v>19</v>
      </c>
      <c r="D61" t="s">
        <v>34</v>
      </c>
      <c r="E61" t="s">
        <v>21</v>
      </c>
      <c r="F61">
        <v>59</v>
      </c>
      <c r="G61">
        <v>766</v>
      </c>
      <c r="H61" t="s">
        <v>36</v>
      </c>
      <c r="I61" t="s">
        <v>64</v>
      </c>
      <c r="J61" s="1">
        <v>45503</v>
      </c>
      <c r="K61" t="s">
        <v>24</v>
      </c>
      <c r="L61" t="s">
        <v>155</v>
      </c>
      <c r="M61" t="s">
        <v>58</v>
      </c>
      <c r="N61">
        <v>12</v>
      </c>
      <c r="O61">
        <v>1</v>
      </c>
      <c r="P61">
        <v>45</v>
      </c>
      <c r="Q61" t="s">
        <v>27</v>
      </c>
      <c r="R61">
        <f>IF(tblSubscriptions[[#This Row],[churned]] = "Yes",1,0)</f>
        <v>1</v>
      </c>
      <c r="S61">
        <f t="shared" si="0"/>
        <v>1</v>
      </c>
      <c r="T61">
        <f t="shared" si="1"/>
        <v>1</v>
      </c>
      <c r="U61">
        <f t="shared" si="2"/>
        <v>1</v>
      </c>
      <c r="V61">
        <f t="shared" si="3"/>
        <v>3</v>
      </c>
      <c r="W61" t="str">
        <f t="shared" si="4"/>
        <v>High Risk</v>
      </c>
    </row>
    <row r="62" spans="1:23">
      <c r="A62" t="s">
        <v>156</v>
      </c>
      <c r="B62" t="s">
        <v>39</v>
      </c>
      <c r="C62" t="s">
        <v>19</v>
      </c>
      <c r="D62" t="s">
        <v>83</v>
      </c>
      <c r="E62" t="s">
        <v>21</v>
      </c>
      <c r="F62">
        <v>53</v>
      </c>
      <c r="G62">
        <v>1751</v>
      </c>
      <c r="H62" t="s">
        <v>48</v>
      </c>
      <c r="I62" t="s">
        <v>42</v>
      </c>
      <c r="J62" s="1">
        <v>44645</v>
      </c>
      <c r="K62" t="s">
        <v>24</v>
      </c>
      <c r="L62" t="s">
        <v>157</v>
      </c>
      <c r="M62" t="s">
        <v>58</v>
      </c>
      <c r="N62">
        <v>13</v>
      </c>
      <c r="O62">
        <v>5</v>
      </c>
      <c r="P62">
        <v>11</v>
      </c>
      <c r="Q62" t="s">
        <v>27</v>
      </c>
      <c r="R62">
        <f>IF(tblSubscriptions[[#This Row],[churned]] = "Yes",1,0)</f>
        <v>1</v>
      </c>
      <c r="S62">
        <f t="shared" si="0"/>
        <v>1</v>
      </c>
      <c r="T62">
        <f t="shared" si="1"/>
        <v>1</v>
      </c>
      <c r="U62">
        <f t="shared" si="2"/>
        <v>1</v>
      </c>
      <c r="V62">
        <f t="shared" si="3"/>
        <v>3</v>
      </c>
      <c r="W62" t="str">
        <f t="shared" si="4"/>
        <v>High Risk</v>
      </c>
    </row>
    <row r="63" spans="1:23">
      <c r="A63" t="s">
        <v>158</v>
      </c>
      <c r="B63" t="s">
        <v>18</v>
      </c>
      <c r="C63" t="s">
        <v>19</v>
      </c>
      <c r="D63" t="s">
        <v>34</v>
      </c>
      <c r="E63" t="s">
        <v>41</v>
      </c>
      <c r="F63">
        <v>21</v>
      </c>
      <c r="G63">
        <v>316</v>
      </c>
      <c r="H63" t="s">
        <v>70</v>
      </c>
      <c r="I63" t="s">
        <v>23</v>
      </c>
      <c r="J63" s="1">
        <v>44835</v>
      </c>
      <c r="K63" t="s">
        <v>24</v>
      </c>
      <c r="L63" t="s">
        <v>159</v>
      </c>
      <c r="M63" t="s">
        <v>58</v>
      </c>
      <c r="N63">
        <v>1</v>
      </c>
      <c r="O63">
        <v>3</v>
      </c>
      <c r="P63">
        <v>16</v>
      </c>
      <c r="Q63" t="s">
        <v>27</v>
      </c>
      <c r="R63">
        <f>IF(tblSubscriptions[[#This Row],[churned]] = "Yes",1,0)</f>
        <v>1</v>
      </c>
      <c r="S63">
        <f t="shared" si="0"/>
        <v>1</v>
      </c>
      <c r="T63">
        <f t="shared" si="1"/>
        <v>1</v>
      </c>
      <c r="U63">
        <f t="shared" si="2"/>
        <v>0</v>
      </c>
      <c r="V63">
        <f t="shared" si="3"/>
        <v>2</v>
      </c>
      <c r="W63" t="str">
        <f t="shared" si="4"/>
        <v>High Risk</v>
      </c>
    </row>
    <row r="64" spans="1:23">
      <c r="A64" t="s">
        <v>160</v>
      </c>
      <c r="B64" t="s">
        <v>87</v>
      </c>
      <c r="C64" t="s">
        <v>29</v>
      </c>
      <c r="D64" t="s">
        <v>20</v>
      </c>
      <c r="E64" t="s">
        <v>41</v>
      </c>
      <c r="F64">
        <v>18</v>
      </c>
      <c r="G64">
        <v>1506</v>
      </c>
      <c r="H64" t="s">
        <v>22</v>
      </c>
      <c r="I64" t="s">
        <v>23</v>
      </c>
      <c r="J64" s="1">
        <v>45890</v>
      </c>
      <c r="K64" t="s">
        <v>27</v>
      </c>
      <c r="L64" t="s">
        <v>31</v>
      </c>
      <c r="M64" t="s">
        <v>31</v>
      </c>
      <c r="N64">
        <v>3</v>
      </c>
      <c r="O64">
        <v>7</v>
      </c>
      <c r="P64">
        <v>61</v>
      </c>
      <c r="Q64" t="s">
        <v>27</v>
      </c>
      <c r="R64">
        <f>IF(tblSubscriptions[[#This Row],[churned]] = "Yes",1,0)</f>
        <v>0</v>
      </c>
      <c r="S64">
        <f t="shared" si="0"/>
        <v>0</v>
      </c>
      <c r="T64">
        <f t="shared" si="1"/>
        <v>0</v>
      </c>
      <c r="U64">
        <f t="shared" si="2"/>
        <v>0</v>
      </c>
      <c r="V64">
        <f t="shared" si="3"/>
        <v>0</v>
      </c>
      <c r="W64" t="str">
        <f t="shared" si="4"/>
        <v>Low Risk</v>
      </c>
    </row>
    <row r="65" spans="1:23">
      <c r="A65" t="s">
        <v>161</v>
      </c>
      <c r="B65" t="s">
        <v>18</v>
      </c>
      <c r="C65" t="s">
        <v>29</v>
      </c>
      <c r="D65" t="s">
        <v>20</v>
      </c>
      <c r="E65" t="s">
        <v>21</v>
      </c>
      <c r="F65">
        <v>51</v>
      </c>
      <c r="G65">
        <v>571</v>
      </c>
      <c r="H65" t="s">
        <v>30</v>
      </c>
      <c r="I65" t="s">
        <v>64</v>
      </c>
      <c r="J65" s="1">
        <v>44836</v>
      </c>
      <c r="K65" t="s">
        <v>27</v>
      </c>
      <c r="L65" t="s">
        <v>31</v>
      </c>
      <c r="M65" t="s">
        <v>31</v>
      </c>
      <c r="N65">
        <v>1</v>
      </c>
      <c r="O65">
        <v>10</v>
      </c>
      <c r="P65">
        <v>33</v>
      </c>
      <c r="Q65" t="s">
        <v>27</v>
      </c>
      <c r="R65">
        <f>IF(tblSubscriptions[[#This Row],[churned]] = "Yes",1,0)</f>
        <v>0</v>
      </c>
      <c r="S65">
        <f t="shared" si="0"/>
        <v>1</v>
      </c>
      <c r="T65">
        <f t="shared" si="1"/>
        <v>0</v>
      </c>
      <c r="U65">
        <f t="shared" si="2"/>
        <v>0</v>
      </c>
      <c r="V65">
        <f t="shared" si="3"/>
        <v>1</v>
      </c>
      <c r="W65" t="str">
        <f t="shared" si="4"/>
        <v>Medium Risk</v>
      </c>
    </row>
    <row r="66" spans="1:23">
      <c r="A66" t="s">
        <v>162</v>
      </c>
      <c r="B66" t="s">
        <v>33</v>
      </c>
      <c r="C66" t="s">
        <v>19</v>
      </c>
      <c r="D66" t="s">
        <v>44</v>
      </c>
      <c r="E66" t="s">
        <v>50</v>
      </c>
      <c r="F66">
        <v>60</v>
      </c>
      <c r="G66">
        <v>286</v>
      </c>
      <c r="H66" t="s">
        <v>30</v>
      </c>
      <c r="I66" t="s">
        <v>23</v>
      </c>
      <c r="J66" s="1">
        <v>44877</v>
      </c>
      <c r="K66" t="s">
        <v>24</v>
      </c>
      <c r="L66" t="s">
        <v>163</v>
      </c>
      <c r="M66" t="s">
        <v>52</v>
      </c>
      <c r="N66">
        <v>13</v>
      </c>
      <c r="O66">
        <v>3</v>
      </c>
      <c r="P66">
        <v>46</v>
      </c>
      <c r="Q66" t="s">
        <v>27</v>
      </c>
      <c r="R66">
        <f>IF(tblSubscriptions[[#This Row],[churned]] = "Yes",1,0)</f>
        <v>1</v>
      </c>
      <c r="S66">
        <f t="shared" ref="S66:S129" si="5">IF(P66&lt;50,1,0)</f>
        <v>1</v>
      </c>
      <c r="T66">
        <f t="shared" ref="T66:T129" si="6">IF(O66&lt;=6,1,0)</f>
        <v>1</v>
      </c>
      <c r="U66">
        <f t="shared" ref="U66:U129" si="7">IF(N66&gt;=11,1,0)</f>
        <v>1</v>
      </c>
      <c r="V66">
        <f t="shared" ref="V66:V129" si="8">S66+T66+U66</f>
        <v>3</v>
      </c>
      <c r="W66" t="str">
        <f t="shared" ref="W66:W129" si="9">IF(V66&gt;=2,"High Risk",IF(V66=1,"Medium Risk","Low Risk"))</f>
        <v>High Risk</v>
      </c>
    </row>
    <row r="67" spans="1:23">
      <c r="A67" t="s">
        <v>164</v>
      </c>
      <c r="B67" t="s">
        <v>33</v>
      </c>
      <c r="C67" t="s">
        <v>29</v>
      </c>
      <c r="D67" t="s">
        <v>73</v>
      </c>
      <c r="E67" t="s">
        <v>21</v>
      </c>
      <c r="F67">
        <v>55</v>
      </c>
      <c r="G67">
        <v>224</v>
      </c>
      <c r="H67" t="s">
        <v>22</v>
      </c>
      <c r="I67" t="s">
        <v>23</v>
      </c>
      <c r="J67" s="1">
        <v>45471</v>
      </c>
      <c r="K67" t="s">
        <v>24</v>
      </c>
      <c r="L67" t="s">
        <v>165</v>
      </c>
      <c r="M67" t="s">
        <v>52</v>
      </c>
      <c r="N67">
        <v>12</v>
      </c>
      <c r="O67">
        <v>1</v>
      </c>
      <c r="P67">
        <v>12</v>
      </c>
      <c r="Q67" t="s">
        <v>27</v>
      </c>
      <c r="R67">
        <f>IF(tblSubscriptions[[#This Row],[churned]] = "Yes",1,0)</f>
        <v>1</v>
      </c>
      <c r="S67">
        <f t="shared" si="5"/>
        <v>1</v>
      </c>
      <c r="T67">
        <f t="shared" si="6"/>
        <v>1</v>
      </c>
      <c r="U67">
        <f t="shared" si="7"/>
        <v>1</v>
      </c>
      <c r="V67">
        <f t="shared" si="8"/>
        <v>3</v>
      </c>
      <c r="W67" t="str">
        <f t="shared" si="9"/>
        <v>High Risk</v>
      </c>
    </row>
    <row r="68" spans="1:23">
      <c r="A68" t="s">
        <v>166</v>
      </c>
      <c r="B68" t="s">
        <v>39</v>
      </c>
      <c r="C68" t="s">
        <v>29</v>
      </c>
      <c r="D68" t="s">
        <v>56</v>
      </c>
      <c r="E68" t="s">
        <v>47</v>
      </c>
      <c r="F68">
        <v>7</v>
      </c>
      <c r="G68">
        <v>321</v>
      </c>
      <c r="H68" t="s">
        <v>70</v>
      </c>
      <c r="I68" t="s">
        <v>23</v>
      </c>
      <c r="J68" s="1">
        <v>45197</v>
      </c>
      <c r="K68" t="s">
        <v>27</v>
      </c>
      <c r="L68" t="s">
        <v>31</v>
      </c>
      <c r="M68" t="s">
        <v>31</v>
      </c>
      <c r="N68">
        <v>4</v>
      </c>
      <c r="O68">
        <v>8</v>
      </c>
      <c r="P68">
        <v>30</v>
      </c>
      <c r="Q68" t="s">
        <v>27</v>
      </c>
      <c r="R68">
        <f>IF(tblSubscriptions[[#This Row],[churned]] = "Yes",1,0)</f>
        <v>0</v>
      </c>
      <c r="S68">
        <f t="shared" si="5"/>
        <v>1</v>
      </c>
      <c r="T68">
        <f t="shared" si="6"/>
        <v>0</v>
      </c>
      <c r="U68">
        <f t="shared" si="7"/>
        <v>0</v>
      </c>
      <c r="V68">
        <f t="shared" si="8"/>
        <v>1</v>
      </c>
      <c r="W68" t="str">
        <f t="shared" si="9"/>
        <v>Medium Risk</v>
      </c>
    </row>
    <row r="69" spans="1:23">
      <c r="A69" t="s">
        <v>167</v>
      </c>
      <c r="B69" t="s">
        <v>18</v>
      </c>
      <c r="C69" t="s">
        <v>29</v>
      </c>
      <c r="D69" t="s">
        <v>73</v>
      </c>
      <c r="E69" t="s">
        <v>47</v>
      </c>
      <c r="F69">
        <v>1</v>
      </c>
      <c r="G69">
        <v>67</v>
      </c>
      <c r="H69" t="s">
        <v>48</v>
      </c>
      <c r="I69" t="s">
        <v>64</v>
      </c>
      <c r="J69" s="1">
        <v>45993</v>
      </c>
      <c r="K69" t="s">
        <v>27</v>
      </c>
      <c r="L69" t="s">
        <v>31</v>
      </c>
      <c r="M69" t="s">
        <v>31</v>
      </c>
      <c r="N69">
        <v>7</v>
      </c>
      <c r="O69">
        <v>3</v>
      </c>
      <c r="P69">
        <v>29</v>
      </c>
      <c r="Q69" t="s">
        <v>27</v>
      </c>
      <c r="R69">
        <f>IF(tblSubscriptions[[#This Row],[churned]] = "Yes",1,0)</f>
        <v>0</v>
      </c>
      <c r="S69">
        <f t="shared" si="5"/>
        <v>1</v>
      </c>
      <c r="T69">
        <f t="shared" si="6"/>
        <v>1</v>
      </c>
      <c r="U69">
        <f t="shared" si="7"/>
        <v>0</v>
      </c>
      <c r="V69">
        <f t="shared" si="8"/>
        <v>2</v>
      </c>
      <c r="W69" t="str">
        <f t="shared" si="9"/>
        <v>High Risk</v>
      </c>
    </row>
    <row r="70" spans="1:23">
      <c r="A70" t="s">
        <v>168</v>
      </c>
      <c r="B70" t="s">
        <v>33</v>
      </c>
      <c r="C70" t="s">
        <v>29</v>
      </c>
      <c r="D70" t="s">
        <v>56</v>
      </c>
      <c r="E70" t="s">
        <v>47</v>
      </c>
      <c r="F70">
        <v>2</v>
      </c>
      <c r="G70">
        <v>28</v>
      </c>
      <c r="H70" t="s">
        <v>22</v>
      </c>
      <c r="I70" t="s">
        <v>42</v>
      </c>
      <c r="J70" s="1">
        <v>45137</v>
      </c>
      <c r="K70" t="s">
        <v>24</v>
      </c>
      <c r="L70" t="s">
        <v>169</v>
      </c>
      <c r="M70" t="s">
        <v>102</v>
      </c>
      <c r="N70">
        <v>1</v>
      </c>
      <c r="O70">
        <v>2</v>
      </c>
      <c r="P70">
        <v>25</v>
      </c>
      <c r="Q70" t="s">
        <v>27</v>
      </c>
      <c r="R70">
        <f>IF(tblSubscriptions[[#This Row],[churned]] = "Yes",1,0)</f>
        <v>1</v>
      </c>
      <c r="S70">
        <f t="shared" si="5"/>
        <v>1</v>
      </c>
      <c r="T70">
        <f t="shared" si="6"/>
        <v>1</v>
      </c>
      <c r="U70">
        <f t="shared" si="7"/>
        <v>0</v>
      </c>
      <c r="V70">
        <f t="shared" si="8"/>
        <v>2</v>
      </c>
      <c r="W70" t="str">
        <f t="shared" si="9"/>
        <v>High Risk</v>
      </c>
    </row>
    <row r="71" spans="1:23">
      <c r="A71" t="s">
        <v>170</v>
      </c>
      <c r="B71" t="s">
        <v>39</v>
      </c>
      <c r="C71" t="s">
        <v>19</v>
      </c>
      <c r="D71" t="s">
        <v>46</v>
      </c>
      <c r="E71" t="s">
        <v>21</v>
      </c>
      <c r="F71">
        <v>64</v>
      </c>
      <c r="G71">
        <v>2080</v>
      </c>
      <c r="H71" t="s">
        <v>22</v>
      </c>
      <c r="I71" t="s">
        <v>23</v>
      </c>
      <c r="J71" s="1">
        <v>44798</v>
      </c>
      <c r="K71" t="s">
        <v>24</v>
      </c>
      <c r="L71" t="s">
        <v>134</v>
      </c>
      <c r="M71" t="s">
        <v>75</v>
      </c>
      <c r="N71">
        <v>3</v>
      </c>
      <c r="O71">
        <v>1</v>
      </c>
      <c r="P71">
        <v>28</v>
      </c>
      <c r="Q71" t="s">
        <v>27</v>
      </c>
      <c r="R71">
        <f>IF(tblSubscriptions[[#This Row],[churned]] = "Yes",1,0)</f>
        <v>1</v>
      </c>
      <c r="S71">
        <f t="shared" si="5"/>
        <v>1</v>
      </c>
      <c r="T71">
        <f t="shared" si="6"/>
        <v>1</v>
      </c>
      <c r="U71">
        <f t="shared" si="7"/>
        <v>0</v>
      </c>
      <c r="V71">
        <f t="shared" si="8"/>
        <v>2</v>
      </c>
      <c r="W71" t="str">
        <f t="shared" si="9"/>
        <v>High Risk</v>
      </c>
    </row>
    <row r="72" spans="1:23">
      <c r="A72" t="s">
        <v>171</v>
      </c>
      <c r="B72" t="s">
        <v>87</v>
      </c>
      <c r="C72" t="s">
        <v>19</v>
      </c>
      <c r="D72" t="s">
        <v>20</v>
      </c>
      <c r="E72" t="s">
        <v>50</v>
      </c>
      <c r="F72">
        <v>58</v>
      </c>
      <c r="G72">
        <v>4765</v>
      </c>
      <c r="H72" t="s">
        <v>22</v>
      </c>
      <c r="I72" t="s">
        <v>42</v>
      </c>
      <c r="J72" s="1">
        <v>44583</v>
      </c>
      <c r="K72" t="s">
        <v>27</v>
      </c>
      <c r="L72" t="s">
        <v>31</v>
      </c>
      <c r="M72" t="s">
        <v>31</v>
      </c>
      <c r="N72">
        <v>4</v>
      </c>
      <c r="O72">
        <v>10</v>
      </c>
      <c r="P72">
        <v>42</v>
      </c>
      <c r="Q72" t="s">
        <v>27</v>
      </c>
      <c r="R72">
        <f>IF(tblSubscriptions[[#This Row],[churned]] = "Yes",1,0)</f>
        <v>0</v>
      </c>
      <c r="S72">
        <f t="shared" si="5"/>
        <v>1</v>
      </c>
      <c r="T72">
        <f t="shared" si="6"/>
        <v>0</v>
      </c>
      <c r="U72">
        <f t="shared" si="7"/>
        <v>0</v>
      </c>
      <c r="V72">
        <f t="shared" si="8"/>
        <v>1</v>
      </c>
      <c r="W72" t="str">
        <f t="shared" si="9"/>
        <v>Medium Risk</v>
      </c>
    </row>
    <row r="73" spans="1:23">
      <c r="A73" t="s">
        <v>172</v>
      </c>
      <c r="B73" t="s">
        <v>33</v>
      </c>
      <c r="C73" t="s">
        <v>19</v>
      </c>
      <c r="D73" t="s">
        <v>97</v>
      </c>
      <c r="E73" t="s">
        <v>21</v>
      </c>
      <c r="F73">
        <v>31</v>
      </c>
      <c r="G73">
        <v>160</v>
      </c>
      <c r="H73" t="s">
        <v>22</v>
      </c>
      <c r="I73" t="s">
        <v>23</v>
      </c>
      <c r="J73" s="1">
        <v>45464</v>
      </c>
      <c r="K73" t="s">
        <v>27</v>
      </c>
      <c r="L73" t="s">
        <v>31</v>
      </c>
      <c r="M73" t="s">
        <v>31</v>
      </c>
      <c r="N73">
        <v>7</v>
      </c>
      <c r="O73">
        <v>10</v>
      </c>
      <c r="P73">
        <v>81</v>
      </c>
      <c r="Q73" t="s">
        <v>27</v>
      </c>
      <c r="R73">
        <f>IF(tblSubscriptions[[#This Row],[churned]] = "Yes",1,0)</f>
        <v>0</v>
      </c>
      <c r="S73">
        <f t="shared" si="5"/>
        <v>0</v>
      </c>
      <c r="T73">
        <f t="shared" si="6"/>
        <v>0</v>
      </c>
      <c r="U73">
        <f t="shared" si="7"/>
        <v>0</v>
      </c>
      <c r="V73">
        <f t="shared" si="8"/>
        <v>0</v>
      </c>
      <c r="W73" t="str">
        <f t="shared" si="9"/>
        <v>Low Risk</v>
      </c>
    </row>
    <row r="74" spans="1:23">
      <c r="A74" t="s">
        <v>173</v>
      </c>
      <c r="B74" t="s">
        <v>18</v>
      </c>
      <c r="C74" t="s">
        <v>19</v>
      </c>
      <c r="D74" t="s">
        <v>60</v>
      </c>
      <c r="E74" t="s">
        <v>50</v>
      </c>
      <c r="F74">
        <v>106</v>
      </c>
      <c r="G74">
        <v>1323</v>
      </c>
      <c r="H74" t="s">
        <v>48</v>
      </c>
      <c r="I74" t="s">
        <v>23</v>
      </c>
      <c r="J74" s="1">
        <v>45797</v>
      </c>
      <c r="K74" t="s">
        <v>27</v>
      </c>
      <c r="L74" t="s">
        <v>31</v>
      </c>
      <c r="M74" t="s">
        <v>31</v>
      </c>
      <c r="N74">
        <v>7</v>
      </c>
      <c r="O74">
        <v>2</v>
      </c>
      <c r="P74">
        <v>87</v>
      </c>
      <c r="Q74" t="s">
        <v>24</v>
      </c>
      <c r="R74">
        <f>IF(tblSubscriptions[[#This Row],[churned]] = "Yes",1,0)</f>
        <v>0</v>
      </c>
      <c r="S74">
        <f t="shared" si="5"/>
        <v>0</v>
      </c>
      <c r="T74">
        <f t="shared" si="6"/>
        <v>1</v>
      </c>
      <c r="U74">
        <f t="shared" si="7"/>
        <v>0</v>
      </c>
      <c r="V74">
        <f t="shared" si="8"/>
        <v>1</v>
      </c>
      <c r="W74" t="str">
        <f t="shared" si="9"/>
        <v>Medium Risk</v>
      </c>
    </row>
    <row r="75" spans="1:23">
      <c r="A75" t="s">
        <v>174</v>
      </c>
      <c r="B75" t="s">
        <v>33</v>
      </c>
      <c r="C75" t="s">
        <v>19</v>
      </c>
      <c r="D75" t="s">
        <v>83</v>
      </c>
      <c r="E75" t="s">
        <v>21</v>
      </c>
      <c r="F75">
        <v>42</v>
      </c>
      <c r="G75">
        <v>207</v>
      </c>
      <c r="H75" t="s">
        <v>70</v>
      </c>
      <c r="I75" t="s">
        <v>23</v>
      </c>
      <c r="J75" s="1">
        <v>45274</v>
      </c>
      <c r="K75" t="s">
        <v>24</v>
      </c>
      <c r="L75" t="s">
        <v>175</v>
      </c>
      <c r="M75" t="s">
        <v>66</v>
      </c>
      <c r="N75">
        <v>12</v>
      </c>
      <c r="O75">
        <v>3</v>
      </c>
      <c r="P75">
        <v>10</v>
      </c>
      <c r="Q75" t="s">
        <v>27</v>
      </c>
      <c r="R75">
        <f>IF(tblSubscriptions[[#This Row],[churned]] = "Yes",1,0)</f>
        <v>1</v>
      </c>
      <c r="S75">
        <f t="shared" si="5"/>
        <v>1</v>
      </c>
      <c r="T75">
        <f t="shared" si="6"/>
        <v>1</v>
      </c>
      <c r="U75">
        <f t="shared" si="7"/>
        <v>1</v>
      </c>
      <c r="V75">
        <f t="shared" si="8"/>
        <v>3</v>
      </c>
      <c r="W75" t="str">
        <f t="shared" si="9"/>
        <v>High Risk</v>
      </c>
    </row>
    <row r="76" spans="1:23">
      <c r="A76" t="s">
        <v>176</v>
      </c>
      <c r="B76" t="s">
        <v>18</v>
      </c>
      <c r="C76" t="s">
        <v>19</v>
      </c>
      <c r="D76" t="s">
        <v>20</v>
      </c>
      <c r="E76" t="s">
        <v>47</v>
      </c>
      <c r="F76">
        <v>6</v>
      </c>
      <c r="G76">
        <v>138</v>
      </c>
      <c r="H76" t="s">
        <v>70</v>
      </c>
      <c r="I76" t="s">
        <v>23</v>
      </c>
      <c r="J76" s="1">
        <v>44925</v>
      </c>
      <c r="K76" t="s">
        <v>27</v>
      </c>
      <c r="L76" t="s">
        <v>31</v>
      </c>
      <c r="M76" t="s">
        <v>31</v>
      </c>
      <c r="N76">
        <v>5</v>
      </c>
      <c r="O76">
        <v>1</v>
      </c>
      <c r="P76">
        <v>49</v>
      </c>
      <c r="Q76" t="s">
        <v>27</v>
      </c>
      <c r="R76">
        <f>IF(tblSubscriptions[[#This Row],[churned]] = "Yes",1,0)</f>
        <v>0</v>
      </c>
      <c r="S76">
        <f t="shared" si="5"/>
        <v>1</v>
      </c>
      <c r="T76">
        <f t="shared" si="6"/>
        <v>1</v>
      </c>
      <c r="U76">
        <f t="shared" si="7"/>
        <v>0</v>
      </c>
      <c r="V76">
        <f t="shared" si="8"/>
        <v>2</v>
      </c>
      <c r="W76" t="str">
        <f t="shared" si="9"/>
        <v>High Risk</v>
      </c>
    </row>
    <row r="77" spans="1:23">
      <c r="A77" t="s">
        <v>177</v>
      </c>
      <c r="B77" t="s">
        <v>18</v>
      </c>
      <c r="C77" t="s">
        <v>29</v>
      </c>
      <c r="D77" t="s">
        <v>60</v>
      </c>
      <c r="E77" t="s">
        <v>50</v>
      </c>
      <c r="F77">
        <v>56</v>
      </c>
      <c r="G77">
        <v>621</v>
      </c>
      <c r="H77" t="s">
        <v>48</v>
      </c>
      <c r="I77" t="s">
        <v>42</v>
      </c>
      <c r="J77" s="1">
        <v>45354</v>
      </c>
      <c r="K77" t="s">
        <v>27</v>
      </c>
      <c r="L77" t="s">
        <v>31</v>
      </c>
      <c r="M77" t="s">
        <v>31</v>
      </c>
      <c r="N77">
        <v>2</v>
      </c>
      <c r="O77">
        <v>5</v>
      </c>
      <c r="P77">
        <v>87</v>
      </c>
      <c r="Q77" t="s">
        <v>27</v>
      </c>
      <c r="R77">
        <f>IF(tblSubscriptions[[#This Row],[churned]] = "Yes",1,0)</f>
        <v>0</v>
      </c>
      <c r="S77">
        <f t="shared" si="5"/>
        <v>0</v>
      </c>
      <c r="T77">
        <f t="shared" si="6"/>
        <v>1</v>
      </c>
      <c r="U77">
        <f t="shared" si="7"/>
        <v>0</v>
      </c>
      <c r="V77">
        <f t="shared" si="8"/>
        <v>1</v>
      </c>
      <c r="W77" t="str">
        <f t="shared" si="9"/>
        <v>Medium Risk</v>
      </c>
    </row>
    <row r="78" spans="1:23">
      <c r="A78" t="s">
        <v>178</v>
      </c>
      <c r="B78" t="s">
        <v>87</v>
      </c>
      <c r="C78" t="s">
        <v>19</v>
      </c>
      <c r="D78" t="s">
        <v>56</v>
      </c>
      <c r="E78" t="s">
        <v>21</v>
      </c>
      <c r="F78">
        <v>52</v>
      </c>
      <c r="G78">
        <v>4316</v>
      </c>
      <c r="H78" t="s">
        <v>36</v>
      </c>
      <c r="I78" t="s">
        <v>42</v>
      </c>
      <c r="J78" s="1">
        <v>45047</v>
      </c>
      <c r="K78" t="s">
        <v>27</v>
      </c>
      <c r="L78" t="s">
        <v>31</v>
      </c>
      <c r="M78" t="s">
        <v>31</v>
      </c>
      <c r="N78">
        <v>4</v>
      </c>
      <c r="O78">
        <v>7</v>
      </c>
      <c r="P78">
        <v>88</v>
      </c>
      <c r="Q78" t="s">
        <v>27</v>
      </c>
      <c r="R78">
        <f>IF(tblSubscriptions[[#This Row],[churned]] = "Yes",1,0)</f>
        <v>0</v>
      </c>
      <c r="S78">
        <f t="shared" si="5"/>
        <v>0</v>
      </c>
      <c r="T78">
        <f t="shared" si="6"/>
        <v>0</v>
      </c>
      <c r="U78">
        <f t="shared" si="7"/>
        <v>0</v>
      </c>
      <c r="V78">
        <f t="shared" si="8"/>
        <v>0</v>
      </c>
      <c r="W78" t="str">
        <f t="shared" si="9"/>
        <v>Low Risk</v>
      </c>
    </row>
    <row r="79" spans="1:23">
      <c r="A79" t="s">
        <v>179</v>
      </c>
      <c r="B79" t="s">
        <v>33</v>
      </c>
      <c r="C79" t="s">
        <v>29</v>
      </c>
      <c r="D79" t="s">
        <v>56</v>
      </c>
      <c r="E79" t="s">
        <v>21</v>
      </c>
      <c r="F79">
        <v>24</v>
      </c>
      <c r="G79">
        <v>110</v>
      </c>
      <c r="H79" t="s">
        <v>36</v>
      </c>
      <c r="I79" t="s">
        <v>42</v>
      </c>
      <c r="J79" s="1">
        <v>44978</v>
      </c>
      <c r="K79" t="s">
        <v>24</v>
      </c>
      <c r="L79" t="s">
        <v>180</v>
      </c>
      <c r="M79" t="s">
        <v>62</v>
      </c>
      <c r="N79">
        <v>2</v>
      </c>
      <c r="O79">
        <v>4</v>
      </c>
      <c r="P79">
        <v>16</v>
      </c>
      <c r="Q79" t="s">
        <v>27</v>
      </c>
      <c r="R79">
        <f>IF(tblSubscriptions[[#This Row],[churned]] = "Yes",1,0)</f>
        <v>1</v>
      </c>
      <c r="S79">
        <f t="shared" si="5"/>
        <v>1</v>
      </c>
      <c r="T79">
        <f t="shared" si="6"/>
        <v>1</v>
      </c>
      <c r="U79">
        <f t="shared" si="7"/>
        <v>0</v>
      </c>
      <c r="V79">
        <f t="shared" si="8"/>
        <v>2</v>
      </c>
      <c r="W79" t="str">
        <f t="shared" si="9"/>
        <v>High Risk</v>
      </c>
    </row>
    <row r="80" spans="1:23">
      <c r="A80" t="s">
        <v>181</v>
      </c>
      <c r="B80" t="s">
        <v>39</v>
      </c>
      <c r="C80" t="s">
        <v>19</v>
      </c>
      <c r="D80" t="s">
        <v>60</v>
      </c>
      <c r="E80" t="s">
        <v>21</v>
      </c>
      <c r="F80">
        <v>40</v>
      </c>
      <c r="G80">
        <v>1363</v>
      </c>
      <c r="H80" t="s">
        <v>124</v>
      </c>
      <c r="I80" t="s">
        <v>23</v>
      </c>
      <c r="J80" s="1">
        <v>45297</v>
      </c>
      <c r="K80" t="s">
        <v>27</v>
      </c>
      <c r="L80" t="s">
        <v>31</v>
      </c>
      <c r="M80" t="s">
        <v>31</v>
      </c>
      <c r="N80">
        <v>0</v>
      </c>
      <c r="O80">
        <v>4</v>
      </c>
      <c r="P80">
        <v>29</v>
      </c>
      <c r="Q80" t="s">
        <v>27</v>
      </c>
      <c r="R80">
        <f>IF(tblSubscriptions[[#This Row],[churned]] = "Yes",1,0)</f>
        <v>0</v>
      </c>
      <c r="S80">
        <f t="shared" si="5"/>
        <v>1</v>
      </c>
      <c r="T80">
        <f t="shared" si="6"/>
        <v>1</v>
      </c>
      <c r="U80">
        <f t="shared" si="7"/>
        <v>0</v>
      </c>
      <c r="V80">
        <f t="shared" si="8"/>
        <v>2</v>
      </c>
      <c r="W80" t="str">
        <f t="shared" si="9"/>
        <v>High Risk</v>
      </c>
    </row>
    <row r="81" spans="1:23">
      <c r="A81" t="s">
        <v>182</v>
      </c>
      <c r="B81" t="s">
        <v>33</v>
      </c>
      <c r="C81" t="s">
        <v>19</v>
      </c>
      <c r="D81" t="s">
        <v>60</v>
      </c>
      <c r="E81" t="s">
        <v>41</v>
      </c>
      <c r="F81">
        <v>5</v>
      </c>
      <c r="G81">
        <v>46</v>
      </c>
      <c r="H81" t="s">
        <v>22</v>
      </c>
      <c r="I81" t="s">
        <v>64</v>
      </c>
      <c r="J81" s="1">
        <v>45721</v>
      </c>
      <c r="K81" t="s">
        <v>24</v>
      </c>
      <c r="L81" t="s">
        <v>183</v>
      </c>
      <c r="M81" t="s">
        <v>75</v>
      </c>
      <c r="N81">
        <v>0</v>
      </c>
      <c r="O81">
        <v>6</v>
      </c>
      <c r="P81">
        <v>20</v>
      </c>
      <c r="Q81" t="s">
        <v>27</v>
      </c>
      <c r="R81">
        <f>IF(tblSubscriptions[[#This Row],[churned]] = "Yes",1,0)</f>
        <v>1</v>
      </c>
      <c r="S81">
        <f t="shared" si="5"/>
        <v>1</v>
      </c>
      <c r="T81">
        <f t="shared" si="6"/>
        <v>1</v>
      </c>
      <c r="U81">
        <f t="shared" si="7"/>
        <v>0</v>
      </c>
      <c r="V81">
        <f t="shared" si="8"/>
        <v>2</v>
      </c>
      <c r="W81" t="str">
        <f t="shared" si="9"/>
        <v>High Risk</v>
      </c>
    </row>
    <row r="82" spans="1:23">
      <c r="A82" t="s">
        <v>184</v>
      </c>
      <c r="B82" t="s">
        <v>39</v>
      </c>
      <c r="C82" t="s">
        <v>29</v>
      </c>
      <c r="D82" t="s">
        <v>34</v>
      </c>
      <c r="E82" t="s">
        <v>41</v>
      </c>
      <c r="F82">
        <v>24</v>
      </c>
      <c r="G82">
        <v>753</v>
      </c>
      <c r="H82" t="s">
        <v>22</v>
      </c>
      <c r="I82" t="s">
        <v>64</v>
      </c>
      <c r="J82" s="1">
        <v>45308</v>
      </c>
      <c r="K82" t="s">
        <v>27</v>
      </c>
      <c r="L82" t="s">
        <v>31</v>
      </c>
      <c r="M82" t="s">
        <v>31</v>
      </c>
      <c r="N82">
        <v>2</v>
      </c>
      <c r="O82">
        <v>6</v>
      </c>
      <c r="P82">
        <v>86</v>
      </c>
      <c r="Q82" t="s">
        <v>27</v>
      </c>
      <c r="R82">
        <f>IF(tblSubscriptions[[#This Row],[churned]] = "Yes",1,0)</f>
        <v>0</v>
      </c>
      <c r="S82">
        <f t="shared" si="5"/>
        <v>0</v>
      </c>
      <c r="T82">
        <f t="shared" si="6"/>
        <v>1</v>
      </c>
      <c r="U82">
        <f t="shared" si="7"/>
        <v>0</v>
      </c>
      <c r="V82">
        <f t="shared" si="8"/>
        <v>1</v>
      </c>
      <c r="W82" t="str">
        <f t="shared" si="9"/>
        <v>Medium Risk</v>
      </c>
    </row>
    <row r="83" spans="1:23">
      <c r="A83" t="s">
        <v>185</v>
      </c>
      <c r="B83" t="s">
        <v>33</v>
      </c>
      <c r="C83" t="s">
        <v>29</v>
      </c>
      <c r="D83" t="s">
        <v>46</v>
      </c>
      <c r="E83" t="s">
        <v>47</v>
      </c>
      <c r="F83">
        <v>1</v>
      </c>
      <c r="G83">
        <v>25</v>
      </c>
      <c r="H83" t="s">
        <v>124</v>
      </c>
      <c r="I83" t="s">
        <v>42</v>
      </c>
      <c r="J83" s="1">
        <v>45462</v>
      </c>
      <c r="K83" t="s">
        <v>24</v>
      </c>
      <c r="L83" t="s">
        <v>186</v>
      </c>
      <c r="M83" t="s">
        <v>62</v>
      </c>
      <c r="N83">
        <v>14</v>
      </c>
      <c r="O83">
        <v>2</v>
      </c>
      <c r="P83">
        <v>22</v>
      </c>
      <c r="Q83" t="s">
        <v>27</v>
      </c>
      <c r="R83">
        <f>IF(tblSubscriptions[[#This Row],[churned]] = "Yes",1,0)</f>
        <v>1</v>
      </c>
      <c r="S83">
        <f t="shared" si="5"/>
        <v>1</v>
      </c>
      <c r="T83">
        <f t="shared" si="6"/>
        <v>1</v>
      </c>
      <c r="U83">
        <f t="shared" si="7"/>
        <v>1</v>
      </c>
      <c r="V83">
        <f t="shared" si="8"/>
        <v>3</v>
      </c>
      <c r="W83" t="str">
        <f t="shared" si="9"/>
        <v>High Risk</v>
      </c>
    </row>
    <row r="84" spans="1:23">
      <c r="A84" t="s">
        <v>187</v>
      </c>
      <c r="B84" t="s">
        <v>18</v>
      </c>
      <c r="C84" t="s">
        <v>19</v>
      </c>
      <c r="D84" t="s">
        <v>73</v>
      </c>
      <c r="E84" t="s">
        <v>47</v>
      </c>
      <c r="F84">
        <v>5</v>
      </c>
      <c r="G84">
        <v>126</v>
      </c>
      <c r="H84" t="s">
        <v>70</v>
      </c>
      <c r="I84" t="s">
        <v>64</v>
      </c>
      <c r="J84" s="1">
        <v>45912</v>
      </c>
      <c r="K84" t="s">
        <v>27</v>
      </c>
      <c r="L84" t="s">
        <v>31</v>
      </c>
      <c r="M84" t="s">
        <v>31</v>
      </c>
      <c r="N84">
        <v>6</v>
      </c>
      <c r="O84">
        <v>9</v>
      </c>
      <c r="P84">
        <v>56</v>
      </c>
      <c r="Q84" t="s">
        <v>27</v>
      </c>
      <c r="R84">
        <f>IF(tblSubscriptions[[#This Row],[churned]] = "Yes",1,0)</f>
        <v>0</v>
      </c>
      <c r="S84">
        <f t="shared" si="5"/>
        <v>0</v>
      </c>
      <c r="T84">
        <f t="shared" si="6"/>
        <v>0</v>
      </c>
      <c r="U84">
        <f t="shared" si="7"/>
        <v>0</v>
      </c>
      <c r="V84">
        <f t="shared" si="8"/>
        <v>0</v>
      </c>
      <c r="W84" t="str">
        <f t="shared" si="9"/>
        <v>Low Risk</v>
      </c>
    </row>
    <row r="85" spans="1:23">
      <c r="A85" t="s">
        <v>188</v>
      </c>
      <c r="B85" t="s">
        <v>39</v>
      </c>
      <c r="C85" t="s">
        <v>19</v>
      </c>
      <c r="D85" t="s">
        <v>40</v>
      </c>
      <c r="E85" t="s">
        <v>50</v>
      </c>
      <c r="F85">
        <v>71</v>
      </c>
      <c r="G85">
        <v>2289</v>
      </c>
      <c r="H85" t="s">
        <v>48</v>
      </c>
      <c r="I85" t="s">
        <v>42</v>
      </c>
      <c r="J85" s="1">
        <v>44947</v>
      </c>
      <c r="K85" t="s">
        <v>24</v>
      </c>
      <c r="L85" t="s">
        <v>189</v>
      </c>
      <c r="M85" t="s">
        <v>102</v>
      </c>
      <c r="N85">
        <v>6</v>
      </c>
      <c r="O85">
        <v>5</v>
      </c>
      <c r="P85">
        <v>29</v>
      </c>
      <c r="Q85" t="s">
        <v>27</v>
      </c>
      <c r="R85">
        <f>IF(tblSubscriptions[[#This Row],[churned]] = "Yes",1,0)</f>
        <v>1</v>
      </c>
      <c r="S85">
        <f t="shared" si="5"/>
        <v>1</v>
      </c>
      <c r="T85">
        <f t="shared" si="6"/>
        <v>1</v>
      </c>
      <c r="U85">
        <f t="shared" si="7"/>
        <v>0</v>
      </c>
      <c r="V85">
        <f t="shared" si="8"/>
        <v>2</v>
      </c>
      <c r="W85" t="str">
        <f t="shared" si="9"/>
        <v>High Risk</v>
      </c>
    </row>
    <row r="86" spans="1:23">
      <c r="A86" t="s">
        <v>190</v>
      </c>
      <c r="B86" t="s">
        <v>33</v>
      </c>
      <c r="C86" t="s">
        <v>19</v>
      </c>
      <c r="D86" t="s">
        <v>40</v>
      </c>
      <c r="E86" t="s">
        <v>41</v>
      </c>
      <c r="F86">
        <v>21</v>
      </c>
      <c r="G86">
        <v>116</v>
      </c>
      <c r="H86" t="s">
        <v>36</v>
      </c>
      <c r="I86" t="s">
        <v>84</v>
      </c>
      <c r="J86" s="1">
        <v>45661</v>
      </c>
      <c r="K86" t="s">
        <v>24</v>
      </c>
      <c r="L86" t="s">
        <v>191</v>
      </c>
      <c r="M86" t="s">
        <v>66</v>
      </c>
      <c r="N86">
        <v>13</v>
      </c>
      <c r="O86">
        <v>2</v>
      </c>
      <c r="P86">
        <v>42</v>
      </c>
      <c r="Q86" t="s">
        <v>27</v>
      </c>
      <c r="R86">
        <f>IF(tblSubscriptions[[#This Row],[churned]] = "Yes",1,0)</f>
        <v>1</v>
      </c>
      <c r="S86">
        <f t="shared" si="5"/>
        <v>1</v>
      </c>
      <c r="T86">
        <f t="shared" si="6"/>
        <v>1</v>
      </c>
      <c r="U86">
        <f t="shared" si="7"/>
        <v>1</v>
      </c>
      <c r="V86">
        <f t="shared" si="8"/>
        <v>3</v>
      </c>
      <c r="W86" t="str">
        <f t="shared" si="9"/>
        <v>High Risk</v>
      </c>
    </row>
    <row r="87" spans="1:23">
      <c r="A87" t="s">
        <v>192</v>
      </c>
      <c r="B87" t="s">
        <v>39</v>
      </c>
      <c r="C87" t="s">
        <v>19</v>
      </c>
      <c r="D87" t="s">
        <v>46</v>
      </c>
      <c r="E87" t="s">
        <v>41</v>
      </c>
      <c r="F87">
        <v>27</v>
      </c>
      <c r="G87">
        <v>975</v>
      </c>
      <c r="H87" t="s">
        <v>36</v>
      </c>
      <c r="I87" t="s">
        <v>42</v>
      </c>
      <c r="J87" s="1">
        <v>45479</v>
      </c>
      <c r="K87" t="s">
        <v>27</v>
      </c>
      <c r="L87" t="s">
        <v>31</v>
      </c>
      <c r="M87" t="s">
        <v>31</v>
      </c>
      <c r="N87">
        <v>9</v>
      </c>
      <c r="O87">
        <v>7</v>
      </c>
      <c r="P87">
        <v>35</v>
      </c>
      <c r="Q87" t="s">
        <v>27</v>
      </c>
      <c r="R87">
        <f>IF(tblSubscriptions[[#This Row],[churned]] = "Yes",1,0)</f>
        <v>0</v>
      </c>
      <c r="S87">
        <f t="shared" si="5"/>
        <v>1</v>
      </c>
      <c r="T87">
        <f t="shared" si="6"/>
        <v>0</v>
      </c>
      <c r="U87">
        <f t="shared" si="7"/>
        <v>0</v>
      </c>
      <c r="V87">
        <f t="shared" si="8"/>
        <v>1</v>
      </c>
      <c r="W87" t="str">
        <f t="shared" si="9"/>
        <v>Medium Risk</v>
      </c>
    </row>
    <row r="88" spans="1:23">
      <c r="A88" t="s">
        <v>193</v>
      </c>
      <c r="B88" t="s">
        <v>18</v>
      </c>
      <c r="C88" t="s">
        <v>29</v>
      </c>
      <c r="D88" t="s">
        <v>73</v>
      </c>
      <c r="E88" t="s">
        <v>21</v>
      </c>
      <c r="F88">
        <v>17</v>
      </c>
      <c r="G88">
        <v>228</v>
      </c>
      <c r="H88" t="s">
        <v>30</v>
      </c>
      <c r="I88" t="s">
        <v>42</v>
      </c>
      <c r="J88" s="1">
        <v>45421</v>
      </c>
      <c r="K88" t="s">
        <v>27</v>
      </c>
      <c r="L88" t="s">
        <v>31</v>
      </c>
      <c r="M88" t="s">
        <v>31</v>
      </c>
      <c r="N88">
        <v>2</v>
      </c>
      <c r="O88">
        <v>4</v>
      </c>
      <c r="P88">
        <v>88</v>
      </c>
      <c r="Q88" t="s">
        <v>27</v>
      </c>
      <c r="R88">
        <f>IF(tblSubscriptions[[#This Row],[churned]] = "Yes",1,0)</f>
        <v>0</v>
      </c>
      <c r="S88">
        <f t="shared" si="5"/>
        <v>0</v>
      </c>
      <c r="T88">
        <f t="shared" si="6"/>
        <v>1</v>
      </c>
      <c r="U88">
        <f t="shared" si="7"/>
        <v>0</v>
      </c>
      <c r="V88">
        <f t="shared" si="8"/>
        <v>1</v>
      </c>
      <c r="W88" t="str">
        <f t="shared" si="9"/>
        <v>Medium Risk</v>
      </c>
    </row>
    <row r="89" spans="1:23">
      <c r="A89" t="s">
        <v>194</v>
      </c>
      <c r="B89" t="s">
        <v>33</v>
      </c>
      <c r="C89" t="s">
        <v>19</v>
      </c>
      <c r="D89" t="s">
        <v>97</v>
      </c>
      <c r="E89" t="s">
        <v>21</v>
      </c>
      <c r="F89">
        <v>76</v>
      </c>
      <c r="G89">
        <v>355</v>
      </c>
      <c r="H89" t="s">
        <v>48</v>
      </c>
      <c r="I89" t="s">
        <v>64</v>
      </c>
      <c r="J89" s="1">
        <v>45641</v>
      </c>
      <c r="K89" t="s">
        <v>24</v>
      </c>
      <c r="L89" t="s">
        <v>195</v>
      </c>
      <c r="M89" t="s">
        <v>62</v>
      </c>
      <c r="N89">
        <v>7</v>
      </c>
      <c r="O89">
        <v>3</v>
      </c>
      <c r="P89">
        <v>20</v>
      </c>
      <c r="Q89" t="s">
        <v>27</v>
      </c>
      <c r="R89">
        <f>IF(tblSubscriptions[[#This Row],[churned]] = "Yes",1,0)</f>
        <v>1</v>
      </c>
      <c r="S89">
        <f t="shared" si="5"/>
        <v>1</v>
      </c>
      <c r="T89">
        <f t="shared" si="6"/>
        <v>1</v>
      </c>
      <c r="U89">
        <f t="shared" si="7"/>
        <v>0</v>
      </c>
      <c r="V89">
        <f t="shared" si="8"/>
        <v>2</v>
      </c>
      <c r="W89" t="str">
        <f t="shared" si="9"/>
        <v>High Risk</v>
      </c>
    </row>
    <row r="90" spans="1:23">
      <c r="A90" t="s">
        <v>196</v>
      </c>
      <c r="B90" t="s">
        <v>18</v>
      </c>
      <c r="C90" t="s">
        <v>29</v>
      </c>
      <c r="D90" t="s">
        <v>60</v>
      </c>
      <c r="E90" t="s">
        <v>50</v>
      </c>
      <c r="F90">
        <v>75</v>
      </c>
      <c r="G90">
        <v>813</v>
      </c>
      <c r="H90" t="s">
        <v>22</v>
      </c>
      <c r="I90" t="s">
        <v>64</v>
      </c>
      <c r="J90" s="1">
        <v>44886</v>
      </c>
      <c r="K90" t="s">
        <v>24</v>
      </c>
      <c r="L90" t="s">
        <v>197</v>
      </c>
      <c r="M90" t="s">
        <v>52</v>
      </c>
      <c r="N90">
        <v>12</v>
      </c>
      <c r="O90">
        <v>6</v>
      </c>
      <c r="P90">
        <v>20</v>
      </c>
      <c r="Q90" t="s">
        <v>27</v>
      </c>
      <c r="R90">
        <f>IF(tblSubscriptions[[#This Row],[churned]] = "Yes",1,0)</f>
        <v>1</v>
      </c>
      <c r="S90">
        <f t="shared" si="5"/>
        <v>1</v>
      </c>
      <c r="T90">
        <f t="shared" si="6"/>
        <v>1</v>
      </c>
      <c r="U90">
        <f t="shared" si="7"/>
        <v>1</v>
      </c>
      <c r="V90">
        <f t="shared" si="8"/>
        <v>3</v>
      </c>
      <c r="W90" t="str">
        <f t="shared" si="9"/>
        <v>High Risk</v>
      </c>
    </row>
    <row r="91" spans="1:23">
      <c r="A91" t="s">
        <v>198</v>
      </c>
      <c r="B91" t="s">
        <v>39</v>
      </c>
      <c r="C91" t="s">
        <v>29</v>
      </c>
      <c r="D91" t="s">
        <v>60</v>
      </c>
      <c r="E91" t="s">
        <v>21</v>
      </c>
      <c r="F91">
        <v>67</v>
      </c>
      <c r="G91">
        <v>1844</v>
      </c>
      <c r="H91" t="s">
        <v>70</v>
      </c>
      <c r="I91" t="s">
        <v>42</v>
      </c>
      <c r="J91" s="1">
        <v>44648</v>
      </c>
      <c r="K91" t="s">
        <v>24</v>
      </c>
      <c r="L91" t="s">
        <v>163</v>
      </c>
      <c r="M91" t="s">
        <v>58</v>
      </c>
      <c r="N91">
        <v>7</v>
      </c>
      <c r="O91">
        <v>1</v>
      </c>
      <c r="P91">
        <v>36</v>
      </c>
      <c r="Q91" t="s">
        <v>27</v>
      </c>
      <c r="R91">
        <f>IF(tblSubscriptions[[#This Row],[churned]] = "Yes",1,0)</f>
        <v>1</v>
      </c>
      <c r="S91">
        <f t="shared" si="5"/>
        <v>1</v>
      </c>
      <c r="T91">
        <f t="shared" si="6"/>
        <v>1</v>
      </c>
      <c r="U91">
        <f t="shared" si="7"/>
        <v>0</v>
      </c>
      <c r="V91">
        <f t="shared" si="8"/>
        <v>2</v>
      </c>
      <c r="W91" t="str">
        <f t="shared" si="9"/>
        <v>High Risk</v>
      </c>
    </row>
    <row r="92" spans="1:23">
      <c r="A92" t="s">
        <v>199</v>
      </c>
      <c r="B92" t="s">
        <v>87</v>
      </c>
      <c r="C92" t="s">
        <v>29</v>
      </c>
      <c r="D92" t="s">
        <v>56</v>
      </c>
      <c r="E92" t="s">
        <v>41</v>
      </c>
      <c r="F92">
        <v>20</v>
      </c>
      <c r="G92">
        <v>1633</v>
      </c>
      <c r="H92" t="s">
        <v>48</v>
      </c>
      <c r="I92" t="s">
        <v>23</v>
      </c>
      <c r="J92" s="1">
        <v>45596</v>
      </c>
      <c r="K92" t="s">
        <v>24</v>
      </c>
      <c r="L92" t="s">
        <v>200</v>
      </c>
      <c r="M92" t="s">
        <v>66</v>
      </c>
      <c r="N92">
        <v>13</v>
      </c>
      <c r="O92">
        <v>2</v>
      </c>
      <c r="P92">
        <v>42</v>
      </c>
      <c r="Q92" t="s">
        <v>27</v>
      </c>
      <c r="R92">
        <f>IF(tblSubscriptions[[#This Row],[churned]] = "Yes",1,0)</f>
        <v>1</v>
      </c>
      <c r="S92">
        <f t="shared" si="5"/>
        <v>1</v>
      </c>
      <c r="T92">
        <f t="shared" si="6"/>
        <v>1</v>
      </c>
      <c r="U92">
        <f t="shared" si="7"/>
        <v>1</v>
      </c>
      <c r="V92">
        <f t="shared" si="8"/>
        <v>3</v>
      </c>
      <c r="W92" t="str">
        <f t="shared" si="9"/>
        <v>High Risk</v>
      </c>
    </row>
    <row r="93" spans="1:23">
      <c r="A93" t="s">
        <v>201</v>
      </c>
      <c r="B93" t="s">
        <v>33</v>
      </c>
      <c r="C93" t="s">
        <v>19</v>
      </c>
      <c r="D93" t="s">
        <v>97</v>
      </c>
      <c r="E93" t="s">
        <v>47</v>
      </c>
      <c r="F93">
        <v>5</v>
      </c>
      <c r="G93">
        <v>46</v>
      </c>
      <c r="H93" t="s">
        <v>36</v>
      </c>
      <c r="I93" t="s">
        <v>64</v>
      </c>
      <c r="J93" s="1">
        <v>45732</v>
      </c>
      <c r="K93" t="s">
        <v>27</v>
      </c>
      <c r="L93" t="s">
        <v>31</v>
      </c>
      <c r="M93" t="s">
        <v>31</v>
      </c>
      <c r="N93">
        <v>7</v>
      </c>
      <c r="O93">
        <v>7</v>
      </c>
      <c r="P93">
        <v>41</v>
      </c>
      <c r="Q93" t="s">
        <v>27</v>
      </c>
      <c r="R93">
        <f>IF(tblSubscriptions[[#This Row],[churned]] = "Yes",1,0)</f>
        <v>0</v>
      </c>
      <c r="S93">
        <f t="shared" si="5"/>
        <v>1</v>
      </c>
      <c r="T93">
        <f t="shared" si="6"/>
        <v>0</v>
      </c>
      <c r="U93">
        <f t="shared" si="7"/>
        <v>0</v>
      </c>
      <c r="V93">
        <f t="shared" si="8"/>
        <v>1</v>
      </c>
      <c r="W93" t="str">
        <f t="shared" si="9"/>
        <v>Medium Risk</v>
      </c>
    </row>
    <row r="94" spans="1:23">
      <c r="A94" t="s">
        <v>202</v>
      </c>
      <c r="B94" t="s">
        <v>33</v>
      </c>
      <c r="C94" t="s">
        <v>19</v>
      </c>
      <c r="D94" t="s">
        <v>44</v>
      </c>
      <c r="E94" t="s">
        <v>47</v>
      </c>
      <c r="F94">
        <v>7</v>
      </c>
      <c r="G94">
        <v>55</v>
      </c>
      <c r="H94" t="s">
        <v>30</v>
      </c>
      <c r="I94" t="s">
        <v>23</v>
      </c>
      <c r="J94" s="1">
        <v>45960</v>
      </c>
      <c r="K94" t="s">
        <v>27</v>
      </c>
      <c r="L94" t="s">
        <v>31</v>
      </c>
      <c r="M94" t="s">
        <v>31</v>
      </c>
      <c r="N94">
        <v>2</v>
      </c>
      <c r="O94">
        <v>10</v>
      </c>
      <c r="P94">
        <v>63</v>
      </c>
      <c r="Q94" t="s">
        <v>27</v>
      </c>
      <c r="R94">
        <f>IF(tblSubscriptions[[#This Row],[churned]] = "Yes",1,0)</f>
        <v>0</v>
      </c>
      <c r="S94">
        <f t="shared" si="5"/>
        <v>0</v>
      </c>
      <c r="T94">
        <f t="shared" si="6"/>
        <v>0</v>
      </c>
      <c r="U94">
        <f t="shared" si="7"/>
        <v>0</v>
      </c>
      <c r="V94">
        <f t="shared" si="8"/>
        <v>0</v>
      </c>
      <c r="W94" t="str">
        <f t="shared" si="9"/>
        <v>Low Risk</v>
      </c>
    </row>
    <row r="95" spans="1:23">
      <c r="A95" t="s">
        <v>203</v>
      </c>
      <c r="B95" t="s">
        <v>39</v>
      </c>
      <c r="C95" t="s">
        <v>19</v>
      </c>
      <c r="D95" t="s">
        <v>73</v>
      </c>
      <c r="E95" t="s">
        <v>35</v>
      </c>
      <c r="F95">
        <v>234</v>
      </c>
      <c r="G95">
        <v>7154</v>
      </c>
      <c r="H95" t="s">
        <v>36</v>
      </c>
      <c r="I95" t="s">
        <v>23</v>
      </c>
      <c r="J95" s="1">
        <v>44771</v>
      </c>
      <c r="K95" t="s">
        <v>24</v>
      </c>
      <c r="L95" t="s">
        <v>204</v>
      </c>
      <c r="M95" t="s">
        <v>52</v>
      </c>
      <c r="N95">
        <v>4</v>
      </c>
      <c r="O95">
        <v>6</v>
      </c>
      <c r="P95">
        <v>14</v>
      </c>
      <c r="Q95" t="s">
        <v>27</v>
      </c>
      <c r="R95">
        <f>IF(tblSubscriptions[[#This Row],[churned]] = "Yes",1,0)</f>
        <v>1</v>
      </c>
      <c r="S95">
        <f t="shared" si="5"/>
        <v>1</v>
      </c>
      <c r="T95">
        <f t="shared" si="6"/>
        <v>1</v>
      </c>
      <c r="U95">
        <f t="shared" si="7"/>
        <v>0</v>
      </c>
      <c r="V95">
        <f t="shared" si="8"/>
        <v>2</v>
      </c>
      <c r="W95" t="str">
        <f t="shared" si="9"/>
        <v>High Risk</v>
      </c>
    </row>
    <row r="96" spans="1:23">
      <c r="A96" t="s">
        <v>205</v>
      </c>
      <c r="B96" t="s">
        <v>18</v>
      </c>
      <c r="C96" t="s">
        <v>19</v>
      </c>
      <c r="D96" t="s">
        <v>34</v>
      </c>
      <c r="E96" t="s">
        <v>41</v>
      </c>
      <c r="F96">
        <v>14</v>
      </c>
      <c r="G96">
        <v>233</v>
      </c>
      <c r="H96" t="s">
        <v>70</v>
      </c>
      <c r="I96" t="s">
        <v>23</v>
      </c>
      <c r="J96" s="1">
        <v>44859</v>
      </c>
      <c r="K96" t="s">
        <v>24</v>
      </c>
      <c r="L96" t="s">
        <v>206</v>
      </c>
      <c r="M96" t="s">
        <v>62</v>
      </c>
      <c r="N96">
        <v>5</v>
      </c>
      <c r="O96">
        <v>6</v>
      </c>
      <c r="P96">
        <v>11</v>
      </c>
      <c r="Q96" t="s">
        <v>27</v>
      </c>
      <c r="R96">
        <f>IF(tblSubscriptions[[#This Row],[churned]] = "Yes",1,0)</f>
        <v>1</v>
      </c>
      <c r="S96">
        <f t="shared" si="5"/>
        <v>1</v>
      </c>
      <c r="T96">
        <f t="shared" si="6"/>
        <v>1</v>
      </c>
      <c r="U96">
        <f t="shared" si="7"/>
        <v>0</v>
      </c>
      <c r="V96">
        <f t="shared" si="8"/>
        <v>2</v>
      </c>
      <c r="W96" t="str">
        <f t="shared" si="9"/>
        <v>High Risk</v>
      </c>
    </row>
    <row r="97" spans="1:23">
      <c r="A97" t="s">
        <v>207</v>
      </c>
      <c r="B97" t="s">
        <v>33</v>
      </c>
      <c r="C97" t="s">
        <v>19</v>
      </c>
      <c r="D97" t="s">
        <v>83</v>
      </c>
      <c r="E97" t="s">
        <v>41</v>
      </c>
      <c r="F97">
        <v>15</v>
      </c>
      <c r="G97">
        <v>90</v>
      </c>
      <c r="H97" t="s">
        <v>30</v>
      </c>
      <c r="I97" t="s">
        <v>23</v>
      </c>
      <c r="J97" s="1">
        <v>45169</v>
      </c>
      <c r="K97" t="s">
        <v>24</v>
      </c>
      <c r="L97" t="s">
        <v>208</v>
      </c>
      <c r="M97" t="s">
        <v>26</v>
      </c>
      <c r="N97">
        <v>12</v>
      </c>
      <c r="O97">
        <v>1</v>
      </c>
      <c r="P97">
        <v>12</v>
      </c>
      <c r="Q97" t="s">
        <v>27</v>
      </c>
      <c r="R97">
        <f>IF(tblSubscriptions[[#This Row],[churned]] = "Yes",1,0)</f>
        <v>1</v>
      </c>
      <c r="S97">
        <f t="shared" si="5"/>
        <v>1</v>
      </c>
      <c r="T97">
        <f t="shared" si="6"/>
        <v>1</v>
      </c>
      <c r="U97">
        <f t="shared" si="7"/>
        <v>1</v>
      </c>
      <c r="V97">
        <f t="shared" si="8"/>
        <v>3</v>
      </c>
      <c r="W97" t="str">
        <f t="shared" si="9"/>
        <v>High Risk</v>
      </c>
    </row>
    <row r="98" spans="1:23">
      <c r="A98" t="s">
        <v>209</v>
      </c>
      <c r="B98" t="s">
        <v>87</v>
      </c>
      <c r="C98" t="s">
        <v>19</v>
      </c>
      <c r="D98" t="s">
        <v>73</v>
      </c>
      <c r="E98" t="s">
        <v>21</v>
      </c>
      <c r="F98">
        <v>31</v>
      </c>
      <c r="G98">
        <v>2745</v>
      </c>
      <c r="H98" t="s">
        <v>22</v>
      </c>
      <c r="I98" t="s">
        <v>23</v>
      </c>
      <c r="J98" s="1">
        <v>45215</v>
      </c>
      <c r="K98" t="s">
        <v>27</v>
      </c>
      <c r="L98" t="s">
        <v>31</v>
      </c>
      <c r="M98" t="s">
        <v>31</v>
      </c>
      <c r="N98">
        <v>1</v>
      </c>
      <c r="O98">
        <v>1</v>
      </c>
      <c r="P98">
        <v>22</v>
      </c>
      <c r="Q98" t="s">
        <v>27</v>
      </c>
      <c r="R98">
        <f>IF(tblSubscriptions[[#This Row],[churned]] = "Yes",1,0)</f>
        <v>0</v>
      </c>
      <c r="S98">
        <f t="shared" si="5"/>
        <v>1</v>
      </c>
      <c r="T98">
        <f t="shared" si="6"/>
        <v>1</v>
      </c>
      <c r="U98">
        <f t="shared" si="7"/>
        <v>0</v>
      </c>
      <c r="V98">
        <f t="shared" si="8"/>
        <v>2</v>
      </c>
      <c r="W98" t="str">
        <f t="shared" si="9"/>
        <v>High Risk</v>
      </c>
    </row>
    <row r="99" spans="1:23">
      <c r="A99" t="s">
        <v>210</v>
      </c>
      <c r="B99" t="s">
        <v>18</v>
      </c>
      <c r="C99" t="s">
        <v>29</v>
      </c>
      <c r="D99" t="s">
        <v>97</v>
      </c>
      <c r="E99" t="s">
        <v>47</v>
      </c>
      <c r="F99">
        <v>8</v>
      </c>
      <c r="G99">
        <v>138</v>
      </c>
      <c r="H99" t="s">
        <v>22</v>
      </c>
      <c r="I99" t="s">
        <v>23</v>
      </c>
      <c r="J99" s="1">
        <v>45989</v>
      </c>
      <c r="K99" t="s">
        <v>24</v>
      </c>
      <c r="L99" t="s">
        <v>211</v>
      </c>
      <c r="M99" t="s">
        <v>66</v>
      </c>
      <c r="N99">
        <v>10</v>
      </c>
      <c r="O99">
        <v>6</v>
      </c>
      <c r="P99">
        <v>43</v>
      </c>
      <c r="Q99" t="s">
        <v>27</v>
      </c>
      <c r="R99">
        <f>IF(tblSubscriptions[[#This Row],[churned]] = "Yes",1,0)</f>
        <v>1</v>
      </c>
      <c r="S99">
        <f t="shared" si="5"/>
        <v>1</v>
      </c>
      <c r="T99">
        <f t="shared" si="6"/>
        <v>1</v>
      </c>
      <c r="U99">
        <f t="shared" si="7"/>
        <v>0</v>
      </c>
      <c r="V99">
        <f t="shared" si="8"/>
        <v>2</v>
      </c>
      <c r="W99" t="str">
        <f t="shared" si="9"/>
        <v>High Risk</v>
      </c>
    </row>
    <row r="100" spans="1:23">
      <c r="A100" t="s">
        <v>212</v>
      </c>
      <c r="B100" t="s">
        <v>87</v>
      </c>
      <c r="C100" t="s">
        <v>19</v>
      </c>
      <c r="D100" t="s">
        <v>44</v>
      </c>
      <c r="E100" t="s">
        <v>41</v>
      </c>
      <c r="F100">
        <v>6</v>
      </c>
      <c r="G100">
        <v>873</v>
      </c>
      <c r="H100" t="s">
        <v>22</v>
      </c>
      <c r="I100" t="s">
        <v>64</v>
      </c>
      <c r="J100" s="1">
        <v>44792</v>
      </c>
      <c r="K100" t="s">
        <v>27</v>
      </c>
      <c r="L100" t="s">
        <v>31</v>
      </c>
      <c r="M100" t="s">
        <v>31</v>
      </c>
      <c r="N100">
        <v>3</v>
      </c>
      <c r="O100">
        <v>4</v>
      </c>
      <c r="P100">
        <v>70</v>
      </c>
      <c r="Q100" t="s">
        <v>27</v>
      </c>
      <c r="R100">
        <f>IF(tblSubscriptions[[#This Row],[churned]] = "Yes",1,0)</f>
        <v>0</v>
      </c>
      <c r="S100">
        <f t="shared" si="5"/>
        <v>0</v>
      </c>
      <c r="T100">
        <f t="shared" si="6"/>
        <v>1</v>
      </c>
      <c r="U100">
        <f t="shared" si="7"/>
        <v>0</v>
      </c>
      <c r="V100">
        <f t="shared" si="8"/>
        <v>1</v>
      </c>
      <c r="W100" t="str">
        <f t="shared" si="9"/>
        <v>Medium Risk</v>
      </c>
    </row>
    <row r="101" spans="1:23">
      <c r="A101" t="s">
        <v>213</v>
      </c>
      <c r="B101" t="s">
        <v>39</v>
      </c>
      <c r="C101" t="s">
        <v>19</v>
      </c>
      <c r="D101" t="s">
        <v>40</v>
      </c>
      <c r="E101" t="s">
        <v>41</v>
      </c>
      <c r="F101">
        <v>17</v>
      </c>
      <c r="G101">
        <v>677</v>
      </c>
      <c r="H101" t="s">
        <v>70</v>
      </c>
      <c r="I101" t="s">
        <v>42</v>
      </c>
      <c r="J101" s="1">
        <v>45088</v>
      </c>
      <c r="K101" t="s">
        <v>27</v>
      </c>
      <c r="L101" t="s">
        <v>31</v>
      </c>
      <c r="M101" t="s">
        <v>31</v>
      </c>
      <c r="N101">
        <v>1</v>
      </c>
      <c r="O101">
        <v>4</v>
      </c>
      <c r="P101">
        <v>17</v>
      </c>
      <c r="Q101" t="s">
        <v>27</v>
      </c>
      <c r="R101">
        <f>IF(tblSubscriptions[[#This Row],[churned]] = "Yes",1,0)</f>
        <v>0</v>
      </c>
      <c r="S101">
        <f t="shared" si="5"/>
        <v>1</v>
      </c>
      <c r="T101">
        <f t="shared" si="6"/>
        <v>1</v>
      </c>
      <c r="U101">
        <f t="shared" si="7"/>
        <v>0</v>
      </c>
      <c r="V101">
        <f t="shared" si="8"/>
        <v>2</v>
      </c>
      <c r="W101" t="str">
        <f t="shared" si="9"/>
        <v>High Risk</v>
      </c>
    </row>
    <row r="102" spans="1:23">
      <c r="A102" t="s">
        <v>214</v>
      </c>
      <c r="B102" t="s">
        <v>33</v>
      </c>
      <c r="C102" t="s">
        <v>19</v>
      </c>
      <c r="D102" t="s">
        <v>83</v>
      </c>
      <c r="E102" t="s">
        <v>47</v>
      </c>
      <c r="F102">
        <v>2</v>
      </c>
      <c r="G102">
        <v>33</v>
      </c>
      <c r="H102" t="s">
        <v>22</v>
      </c>
      <c r="I102" t="s">
        <v>23</v>
      </c>
      <c r="J102" s="1">
        <v>45629</v>
      </c>
      <c r="K102" t="s">
        <v>24</v>
      </c>
      <c r="L102" t="s">
        <v>215</v>
      </c>
      <c r="M102" t="s">
        <v>66</v>
      </c>
      <c r="N102">
        <v>6</v>
      </c>
      <c r="O102">
        <v>3</v>
      </c>
      <c r="P102">
        <v>15</v>
      </c>
      <c r="Q102" t="s">
        <v>27</v>
      </c>
      <c r="R102">
        <f>IF(tblSubscriptions[[#This Row],[churned]] = "Yes",1,0)</f>
        <v>1</v>
      </c>
      <c r="S102">
        <f t="shared" si="5"/>
        <v>1</v>
      </c>
      <c r="T102">
        <f t="shared" si="6"/>
        <v>1</v>
      </c>
      <c r="U102">
        <f t="shared" si="7"/>
        <v>0</v>
      </c>
      <c r="V102">
        <f t="shared" si="8"/>
        <v>2</v>
      </c>
      <c r="W102" t="str">
        <f t="shared" si="9"/>
        <v>High Risk</v>
      </c>
    </row>
    <row r="103" spans="1:23">
      <c r="A103" t="s">
        <v>216</v>
      </c>
      <c r="B103" t="s">
        <v>18</v>
      </c>
      <c r="C103" t="s">
        <v>19</v>
      </c>
      <c r="D103" t="s">
        <v>97</v>
      </c>
      <c r="E103" t="s">
        <v>35</v>
      </c>
      <c r="F103">
        <v>62</v>
      </c>
      <c r="G103">
        <v>802</v>
      </c>
      <c r="H103" t="s">
        <v>48</v>
      </c>
      <c r="I103" t="s">
        <v>84</v>
      </c>
      <c r="J103" s="1">
        <v>45233</v>
      </c>
      <c r="K103" t="s">
        <v>27</v>
      </c>
      <c r="L103" t="s">
        <v>31</v>
      </c>
      <c r="M103" t="s">
        <v>31</v>
      </c>
      <c r="N103">
        <v>11</v>
      </c>
      <c r="O103">
        <v>7</v>
      </c>
      <c r="P103">
        <v>88</v>
      </c>
      <c r="Q103" t="s">
        <v>27</v>
      </c>
      <c r="R103">
        <f>IF(tblSubscriptions[[#This Row],[churned]] = "Yes",1,0)</f>
        <v>0</v>
      </c>
      <c r="S103">
        <f t="shared" si="5"/>
        <v>0</v>
      </c>
      <c r="T103">
        <f t="shared" si="6"/>
        <v>0</v>
      </c>
      <c r="U103">
        <f t="shared" si="7"/>
        <v>1</v>
      </c>
      <c r="V103">
        <f t="shared" si="8"/>
        <v>1</v>
      </c>
      <c r="W103" t="str">
        <f t="shared" si="9"/>
        <v>Medium Risk</v>
      </c>
    </row>
    <row r="104" spans="1:23">
      <c r="A104" t="s">
        <v>217</v>
      </c>
      <c r="B104" t="s">
        <v>18</v>
      </c>
      <c r="C104" t="s">
        <v>19</v>
      </c>
      <c r="D104" t="s">
        <v>97</v>
      </c>
      <c r="E104" t="s">
        <v>47</v>
      </c>
      <c r="F104">
        <v>4</v>
      </c>
      <c r="G104">
        <v>115</v>
      </c>
      <c r="H104" t="s">
        <v>124</v>
      </c>
      <c r="I104" t="s">
        <v>42</v>
      </c>
      <c r="J104" s="1">
        <v>45406</v>
      </c>
      <c r="K104" t="s">
        <v>27</v>
      </c>
      <c r="L104" t="s">
        <v>31</v>
      </c>
      <c r="M104" t="s">
        <v>31</v>
      </c>
      <c r="N104">
        <v>0</v>
      </c>
      <c r="O104">
        <v>6</v>
      </c>
      <c r="P104">
        <v>32</v>
      </c>
      <c r="Q104" t="s">
        <v>27</v>
      </c>
      <c r="R104">
        <f>IF(tblSubscriptions[[#This Row],[churned]] = "Yes",1,0)</f>
        <v>0</v>
      </c>
      <c r="S104">
        <f t="shared" si="5"/>
        <v>1</v>
      </c>
      <c r="T104">
        <f t="shared" si="6"/>
        <v>1</v>
      </c>
      <c r="U104">
        <f t="shared" si="7"/>
        <v>0</v>
      </c>
      <c r="V104">
        <f t="shared" si="8"/>
        <v>2</v>
      </c>
      <c r="W104" t="str">
        <f t="shared" si="9"/>
        <v>High Risk</v>
      </c>
    </row>
    <row r="105" spans="1:23">
      <c r="A105" t="s">
        <v>218</v>
      </c>
      <c r="B105" t="s">
        <v>39</v>
      </c>
      <c r="C105" t="s">
        <v>19</v>
      </c>
      <c r="D105" t="s">
        <v>73</v>
      </c>
      <c r="E105" t="s">
        <v>41</v>
      </c>
      <c r="F105">
        <v>17</v>
      </c>
      <c r="G105">
        <v>677</v>
      </c>
      <c r="H105" t="s">
        <v>22</v>
      </c>
      <c r="I105" t="s">
        <v>42</v>
      </c>
      <c r="J105" s="1">
        <v>45626</v>
      </c>
      <c r="K105" t="s">
        <v>24</v>
      </c>
      <c r="L105" t="s">
        <v>219</v>
      </c>
      <c r="M105" t="s">
        <v>62</v>
      </c>
      <c r="N105">
        <v>12</v>
      </c>
      <c r="O105">
        <v>1</v>
      </c>
      <c r="P105">
        <v>30</v>
      </c>
      <c r="Q105" t="s">
        <v>27</v>
      </c>
      <c r="R105">
        <f>IF(tblSubscriptions[[#This Row],[churned]] = "Yes",1,0)</f>
        <v>1</v>
      </c>
      <c r="S105">
        <f t="shared" si="5"/>
        <v>1</v>
      </c>
      <c r="T105">
        <f t="shared" si="6"/>
        <v>1</v>
      </c>
      <c r="U105">
        <f t="shared" si="7"/>
        <v>1</v>
      </c>
      <c r="V105">
        <f t="shared" si="8"/>
        <v>3</v>
      </c>
      <c r="W105" t="str">
        <f t="shared" si="9"/>
        <v>High Risk</v>
      </c>
    </row>
    <row r="106" spans="1:23">
      <c r="A106" t="s">
        <v>220</v>
      </c>
      <c r="B106" t="s">
        <v>18</v>
      </c>
      <c r="C106" t="s">
        <v>19</v>
      </c>
      <c r="D106" t="s">
        <v>44</v>
      </c>
      <c r="E106" t="s">
        <v>50</v>
      </c>
      <c r="F106">
        <v>42</v>
      </c>
      <c r="G106">
        <v>565</v>
      </c>
      <c r="H106" t="s">
        <v>70</v>
      </c>
      <c r="I106" t="s">
        <v>84</v>
      </c>
      <c r="J106" s="1">
        <v>45281</v>
      </c>
      <c r="K106" t="s">
        <v>27</v>
      </c>
      <c r="L106" t="s">
        <v>31</v>
      </c>
      <c r="M106" t="s">
        <v>31</v>
      </c>
      <c r="N106">
        <v>6</v>
      </c>
      <c r="O106">
        <v>5</v>
      </c>
      <c r="P106">
        <v>53</v>
      </c>
      <c r="Q106" t="s">
        <v>24</v>
      </c>
      <c r="R106">
        <f>IF(tblSubscriptions[[#This Row],[churned]] = "Yes",1,0)</f>
        <v>0</v>
      </c>
      <c r="S106">
        <f t="shared" si="5"/>
        <v>0</v>
      </c>
      <c r="T106">
        <f t="shared" si="6"/>
        <v>1</v>
      </c>
      <c r="U106">
        <f t="shared" si="7"/>
        <v>0</v>
      </c>
      <c r="V106">
        <f t="shared" si="8"/>
        <v>1</v>
      </c>
      <c r="W106" t="str">
        <f t="shared" si="9"/>
        <v>Medium Risk</v>
      </c>
    </row>
    <row r="107" spans="1:23">
      <c r="A107" t="s">
        <v>221</v>
      </c>
      <c r="B107" t="s">
        <v>33</v>
      </c>
      <c r="C107" t="s">
        <v>19</v>
      </c>
      <c r="D107" t="s">
        <v>20</v>
      </c>
      <c r="E107" t="s">
        <v>47</v>
      </c>
      <c r="F107">
        <v>1</v>
      </c>
      <c r="G107">
        <v>29</v>
      </c>
      <c r="H107" t="s">
        <v>48</v>
      </c>
      <c r="I107" t="s">
        <v>64</v>
      </c>
      <c r="J107" s="1">
        <v>45614</v>
      </c>
      <c r="K107" t="s">
        <v>24</v>
      </c>
      <c r="L107" t="s">
        <v>222</v>
      </c>
      <c r="M107" t="s">
        <v>52</v>
      </c>
      <c r="N107">
        <v>4</v>
      </c>
      <c r="O107">
        <v>3</v>
      </c>
      <c r="P107">
        <v>20</v>
      </c>
      <c r="Q107" t="s">
        <v>27</v>
      </c>
      <c r="R107">
        <f>IF(tblSubscriptions[[#This Row],[churned]] = "Yes",1,0)</f>
        <v>1</v>
      </c>
      <c r="S107">
        <f t="shared" si="5"/>
        <v>1</v>
      </c>
      <c r="T107">
        <f t="shared" si="6"/>
        <v>1</v>
      </c>
      <c r="U107">
        <f t="shared" si="7"/>
        <v>0</v>
      </c>
      <c r="V107">
        <f t="shared" si="8"/>
        <v>2</v>
      </c>
      <c r="W107" t="str">
        <f t="shared" si="9"/>
        <v>High Risk</v>
      </c>
    </row>
    <row r="108" spans="1:23">
      <c r="A108" t="s">
        <v>223</v>
      </c>
      <c r="B108" t="s">
        <v>39</v>
      </c>
      <c r="C108" t="s">
        <v>19</v>
      </c>
      <c r="D108" t="s">
        <v>83</v>
      </c>
      <c r="E108" t="s">
        <v>35</v>
      </c>
      <c r="F108">
        <v>139</v>
      </c>
      <c r="G108">
        <v>4318</v>
      </c>
      <c r="H108" t="s">
        <v>48</v>
      </c>
      <c r="I108" t="s">
        <v>42</v>
      </c>
      <c r="J108" s="1">
        <v>44791</v>
      </c>
      <c r="K108" t="s">
        <v>24</v>
      </c>
      <c r="L108" t="s">
        <v>224</v>
      </c>
      <c r="M108" t="s">
        <v>75</v>
      </c>
      <c r="N108">
        <v>11</v>
      </c>
      <c r="O108">
        <v>2</v>
      </c>
      <c r="P108">
        <v>24</v>
      </c>
      <c r="Q108" t="s">
        <v>27</v>
      </c>
      <c r="R108">
        <f>IF(tblSubscriptions[[#This Row],[churned]] = "Yes",1,0)</f>
        <v>1</v>
      </c>
      <c r="S108">
        <f t="shared" si="5"/>
        <v>1</v>
      </c>
      <c r="T108">
        <f t="shared" si="6"/>
        <v>1</v>
      </c>
      <c r="U108">
        <f t="shared" si="7"/>
        <v>1</v>
      </c>
      <c r="V108">
        <f t="shared" si="8"/>
        <v>3</v>
      </c>
      <c r="W108" t="str">
        <f t="shared" si="9"/>
        <v>High Risk</v>
      </c>
    </row>
    <row r="109" spans="1:23">
      <c r="A109" t="s">
        <v>225</v>
      </c>
      <c r="B109" t="s">
        <v>39</v>
      </c>
      <c r="C109" t="s">
        <v>29</v>
      </c>
      <c r="D109" t="s">
        <v>97</v>
      </c>
      <c r="E109" t="s">
        <v>21</v>
      </c>
      <c r="F109">
        <v>30</v>
      </c>
      <c r="G109">
        <v>905</v>
      </c>
      <c r="H109" t="s">
        <v>22</v>
      </c>
      <c r="I109" t="s">
        <v>23</v>
      </c>
      <c r="J109" s="1">
        <v>45885</v>
      </c>
      <c r="K109" t="s">
        <v>27</v>
      </c>
      <c r="L109" t="s">
        <v>31</v>
      </c>
      <c r="M109" t="s">
        <v>31</v>
      </c>
      <c r="N109">
        <v>11</v>
      </c>
      <c r="O109">
        <v>5</v>
      </c>
      <c r="P109">
        <v>48</v>
      </c>
      <c r="Q109" t="s">
        <v>27</v>
      </c>
      <c r="R109">
        <f>IF(tblSubscriptions[[#This Row],[churned]] = "Yes",1,0)</f>
        <v>0</v>
      </c>
      <c r="S109">
        <f t="shared" si="5"/>
        <v>1</v>
      </c>
      <c r="T109">
        <f t="shared" si="6"/>
        <v>1</v>
      </c>
      <c r="U109">
        <f t="shared" si="7"/>
        <v>1</v>
      </c>
      <c r="V109">
        <f t="shared" si="8"/>
        <v>3</v>
      </c>
      <c r="W109" t="str">
        <f t="shared" si="9"/>
        <v>High Risk</v>
      </c>
    </row>
    <row r="110" spans="1:23">
      <c r="A110" t="s">
        <v>226</v>
      </c>
      <c r="B110" t="s">
        <v>39</v>
      </c>
      <c r="C110" t="s">
        <v>29</v>
      </c>
      <c r="D110" t="s">
        <v>34</v>
      </c>
      <c r="E110" t="s">
        <v>21</v>
      </c>
      <c r="F110">
        <v>16</v>
      </c>
      <c r="G110">
        <v>550</v>
      </c>
      <c r="H110" t="s">
        <v>22</v>
      </c>
      <c r="I110" t="s">
        <v>64</v>
      </c>
      <c r="J110" s="1">
        <v>44868</v>
      </c>
      <c r="K110" t="s">
        <v>27</v>
      </c>
      <c r="L110" t="s">
        <v>31</v>
      </c>
      <c r="M110" t="s">
        <v>31</v>
      </c>
      <c r="N110">
        <v>0</v>
      </c>
      <c r="O110">
        <v>9</v>
      </c>
      <c r="P110">
        <v>57</v>
      </c>
      <c r="Q110" t="s">
        <v>27</v>
      </c>
      <c r="R110">
        <f>IF(tblSubscriptions[[#This Row],[churned]] = "Yes",1,0)</f>
        <v>0</v>
      </c>
      <c r="S110">
        <f t="shared" si="5"/>
        <v>0</v>
      </c>
      <c r="T110">
        <f t="shared" si="6"/>
        <v>0</v>
      </c>
      <c r="U110">
        <f t="shared" si="7"/>
        <v>0</v>
      </c>
      <c r="V110">
        <f t="shared" si="8"/>
        <v>0</v>
      </c>
      <c r="W110" t="str">
        <f t="shared" si="9"/>
        <v>Low Risk</v>
      </c>
    </row>
    <row r="111" spans="1:23">
      <c r="A111" t="s">
        <v>227</v>
      </c>
      <c r="B111" t="s">
        <v>18</v>
      </c>
      <c r="C111" t="s">
        <v>29</v>
      </c>
      <c r="D111" t="s">
        <v>20</v>
      </c>
      <c r="E111" t="s">
        <v>50</v>
      </c>
      <c r="F111">
        <v>58</v>
      </c>
      <c r="G111">
        <v>641</v>
      </c>
      <c r="H111" t="s">
        <v>48</v>
      </c>
      <c r="I111" t="s">
        <v>42</v>
      </c>
      <c r="J111" s="1">
        <v>45201</v>
      </c>
      <c r="K111" t="s">
        <v>24</v>
      </c>
      <c r="L111" t="s">
        <v>228</v>
      </c>
      <c r="M111" t="s">
        <v>102</v>
      </c>
      <c r="N111">
        <v>12</v>
      </c>
      <c r="O111">
        <v>3</v>
      </c>
      <c r="P111">
        <v>38</v>
      </c>
      <c r="Q111" t="s">
        <v>27</v>
      </c>
      <c r="R111">
        <f>IF(tblSubscriptions[[#This Row],[churned]] = "Yes",1,0)</f>
        <v>1</v>
      </c>
      <c r="S111">
        <f t="shared" si="5"/>
        <v>1</v>
      </c>
      <c r="T111">
        <f t="shared" si="6"/>
        <v>1</v>
      </c>
      <c r="U111">
        <f t="shared" si="7"/>
        <v>1</v>
      </c>
      <c r="V111">
        <f t="shared" si="8"/>
        <v>3</v>
      </c>
      <c r="W111" t="str">
        <f t="shared" si="9"/>
        <v>High Risk</v>
      </c>
    </row>
    <row r="112" spans="1:23">
      <c r="A112" t="s">
        <v>229</v>
      </c>
      <c r="B112" t="s">
        <v>33</v>
      </c>
      <c r="C112" t="s">
        <v>29</v>
      </c>
      <c r="D112" t="s">
        <v>97</v>
      </c>
      <c r="E112" t="s">
        <v>41</v>
      </c>
      <c r="F112">
        <v>5</v>
      </c>
      <c r="G112">
        <v>39</v>
      </c>
      <c r="H112" t="s">
        <v>36</v>
      </c>
      <c r="I112" t="s">
        <v>42</v>
      </c>
      <c r="J112" s="1">
        <v>44917</v>
      </c>
      <c r="K112" t="s">
        <v>24</v>
      </c>
      <c r="L112" t="s">
        <v>230</v>
      </c>
      <c r="M112" t="s">
        <v>58</v>
      </c>
      <c r="N112">
        <v>15</v>
      </c>
      <c r="O112">
        <v>5</v>
      </c>
      <c r="P112">
        <v>29</v>
      </c>
      <c r="Q112" t="s">
        <v>27</v>
      </c>
      <c r="R112">
        <f>IF(tblSubscriptions[[#This Row],[churned]] = "Yes",1,0)</f>
        <v>1</v>
      </c>
      <c r="S112">
        <f t="shared" si="5"/>
        <v>1</v>
      </c>
      <c r="T112">
        <f t="shared" si="6"/>
        <v>1</v>
      </c>
      <c r="U112">
        <f t="shared" si="7"/>
        <v>1</v>
      </c>
      <c r="V112">
        <f t="shared" si="8"/>
        <v>3</v>
      </c>
      <c r="W112" t="str">
        <f t="shared" si="9"/>
        <v>High Risk</v>
      </c>
    </row>
    <row r="113" spans="1:23">
      <c r="A113" t="s">
        <v>231</v>
      </c>
      <c r="B113" t="s">
        <v>18</v>
      </c>
      <c r="C113" t="s">
        <v>19</v>
      </c>
      <c r="D113" t="s">
        <v>34</v>
      </c>
      <c r="E113" t="s">
        <v>50</v>
      </c>
      <c r="F113">
        <v>42</v>
      </c>
      <c r="G113">
        <v>565</v>
      </c>
      <c r="H113" t="s">
        <v>30</v>
      </c>
      <c r="I113" t="s">
        <v>23</v>
      </c>
      <c r="J113" s="1">
        <v>44588</v>
      </c>
      <c r="K113" t="s">
        <v>24</v>
      </c>
      <c r="L113" t="s">
        <v>232</v>
      </c>
      <c r="M113" t="s">
        <v>62</v>
      </c>
      <c r="N113">
        <v>7</v>
      </c>
      <c r="O113">
        <v>2</v>
      </c>
      <c r="P113">
        <v>40</v>
      </c>
      <c r="Q113" t="s">
        <v>27</v>
      </c>
      <c r="R113">
        <f>IF(tblSubscriptions[[#This Row],[churned]] = "Yes",1,0)</f>
        <v>1</v>
      </c>
      <c r="S113">
        <f t="shared" si="5"/>
        <v>1</v>
      </c>
      <c r="T113">
        <f t="shared" si="6"/>
        <v>1</v>
      </c>
      <c r="U113">
        <f t="shared" si="7"/>
        <v>0</v>
      </c>
      <c r="V113">
        <f t="shared" si="8"/>
        <v>2</v>
      </c>
      <c r="W113" t="str">
        <f t="shared" si="9"/>
        <v>High Risk</v>
      </c>
    </row>
    <row r="114" spans="1:23">
      <c r="A114" t="s">
        <v>233</v>
      </c>
      <c r="B114" t="s">
        <v>39</v>
      </c>
      <c r="C114" t="s">
        <v>19</v>
      </c>
      <c r="D114" t="s">
        <v>97</v>
      </c>
      <c r="E114" t="s">
        <v>41</v>
      </c>
      <c r="F114">
        <v>20</v>
      </c>
      <c r="G114">
        <v>766</v>
      </c>
      <c r="H114" t="s">
        <v>48</v>
      </c>
      <c r="I114" t="s">
        <v>23</v>
      </c>
      <c r="J114" s="1">
        <v>45087</v>
      </c>
      <c r="K114" t="s">
        <v>24</v>
      </c>
      <c r="L114" t="s">
        <v>234</v>
      </c>
      <c r="M114" t="s">
        <v>66</v>
      </c>
      <c r="N114">
        <v>3</v>
      </c>
      <c r="O114">
        <v>4</v>
      </c>
      <c r="P114">
        <v>22</v>
      </c>
      <c r="Q114" t="s">
        <v>27</v>
      </c>
      <c r="R114">
        <f>IF(tblSubscriptions[[#This Row],[churned]] = "Yes",1,0)</f>
        <v>1</v>
      </c>
      <c r="S114">
        <f t="shared" si="5"/>
        <v>1</v>
      </c>
      <c r="T114">
        <f t="shared" si="6"/>
        <v>1</v>
      </c>
      <c r="U114">
        <f t="shared" si="7"/>
        <v>0</v>
      </c>
      <c r="V114">
        <f t="shared" si="8"/>
        <v>2</v>
      </c>
      <c r="W114" t="str">
        <f t="shared" si="9"/>
        <v>High Risk</v>
      </c>
    </row>
    <row r="115" spans="1:23">
      <c r="A115" t="s">
        <v>235</v>
      </c>
      <c r="B115" t="s">
        <v>33</v>
      </c>
      <c r="C115" t="s">
        <v>19</v>
      </c>
      <c r="D115" t="s">
        <v>46</v>
      </c>
      <c r="E115" t="s">
        <v>35</v>
      </c>
      <c r="F115">
        <v>235</v>
      </c>
      <c r="G115">
        <v>1047</v>
      </c>
      <c r="H115" t="s">
        <v>48</v>
      </c>
      <c r="I115" t="s">
        <v>64</v>
      </c>
      <c r="J115" s="1">
        <v>44718</v>
      </c>
      <c r="K115" t="s">
        <v>24</v>
      </c>
      <c r="L115" t="s">
        <v>236</v>
      </c>
      <c r="M115" t="s">
        <v>66</v>
      </c>
      <c r="N115">
        <v>11</v>
      </c>
      <c r="O115">
        <v>1</v>
      </c>
      <c r="P115">
        <v>23</v>
      </c>
      <c r="Q115" t="s">
        <v>27</v>
      </c>
      <c r="R115">
        <f>IF(tblSubscriptions[[#This Row],[churned]] = "Yes",1,0)</f>
        <v>1</v>
      </c>
      <c r="S115">
        <f t="shared" si="5"/>
        <v>1</v>
      </c>
      <c r="T115">
        <f t="shared" si="6"/>
        <v>1</v>
      </c>
      <c r="U115">
        <f t="shared" si="7"/>
        <v>1</v>
      </c>
      <c r="V115">
        <f t="shared" si="8"/>
        <v>3</v>
      </c>
      <c r="W115" t="str">
        <f t="shared" si="9"/>
        <v>High Risk</v>
      </c>
    </row>
    <row r="116" spans="1:23">
      <c r="A116" t="s">
        <v>237</v>
      </c>
      <c r="B116" t="s">
        <v>33</v>
      </c>
      <c r="C116" t="s">
        <v>29</v>
      </c>
      <c r="D116" t="s">
        <v>83</v>
      </c>
      <c r="E116" t="s">
        <v>50</v>
      </c>
      <c r="F116">
        <v>31</v>
      </c>
      <c r="G116">
        <v>136</v>
      </c>
      <c r="H116" t="s">
        <v>22</v>
      </c>
      <c r="I116" t="s">
        <v>84</v>
      </c>
      <c r="J116" s="1">
        <v>45532</v>
      </c>
      <c r="K116" t="s">
        <v>27</v>
      </c>
      <c r="L116" t="s">
        <v>31</v>
      </c>
      <c r="M116" t="s">
        <v>31</v>
      </c>
      <c r="N116">
        <v>0</v>
      </c>
      <c r="O116">
        <v>5</v>
      </c>
      <c r="P116">
        <v>75</v>
      </c>
      <c r="Q116" t="s">
        <v>27</v>
      </c>
      <c r="R116">
        <f>IF(tblSubscriptions[[#This Row],[churned]] = "Yes",1,0)</f>
        <v>0</v>
      </c>
      <c r="S116">
        <f t="shared" si="5"/>
        <v>0</v>
      </c>
      <c r="T116">
        <f t="shared" si="6"/>
        <v>1</v>
      </c>
      <c r="U116">
        <f t="shared" si="7"/>
        <v>0</v>
      </c>
      <c r="V116">
        <f t="shared" si="8"/>
        <v>1</v>
      </c>
      <c r="W116" t="str">
        <f t="shared" si="9"/>
        <v>Medium Risk</v>
      </c>
    </row>
    <row r="117" spans="1:23">
      <c r="A117" t="s">
        <v>238</v>
      </c>
      <c r="B117" t="s">
        <v>18</v>
      </c>
      <c r="C117" t="s">
        <v>19</v>
      </c>
      <c r="D117" t="s">
        <v>46</v>
      </c>
      <c r="E117" t="s">
        <v>21</v>
      </c>
      <c r="F117">
        <v>16</v>
      </c>
      <c r="G117">
        <v>257</v>
      </c>
      <c r="H117" t="s">
        <v>22</v>
      </c>
      <c r="I117" t="s">
        <v>23</v>
      </c>
      <c r="J117" s="1">
        <v>45903</v>
      </c>
      <c r="K117" t="s">
        <v>27</v>
      </c>
      <c r="L117" t="s">
        <v>31</v>
      </c>
      <c r="M117" t="s">
        <v>31</v>
      </c>
      <c r="N117">
        <v>0</v>
      </c>
      <c r="O117">
        <v>2</v>
      </c>
      <c r="P117">
        <v>25</v>
      </c>
      <c r="Q117" t="s">
        <v>27</v>
      </c>
      <c r="R117">
        <f>IF(tblSubscriptions[[#This Row],[churned]] = "Yes",1,0)</f>
        <v>0</v>
      </c>
      <c r="S117">
        <f t="shared" si="5"/>
        <v>1</v>
      </c>
      <c r="T117">
        <f t="shared" si="6"/>
        <v>1</v>
      </c>
      <c r="U117">
        <f t="shared" si="7"/>
        <v>0</v>
      </c>
      <c r="V117">
        <f t="shared" si="8"/>
        <v>2</v>
      </c>
      <c r="W117" t="str">
        <f t="shared" si="9"/>
        <v>High Risk</v>
      </c>
    </row>
    <row r="118" spans="1:23">
      <c r="A118" t="s">
        <v>239</v>
      </c>
      <c r="B118" t="s">
        <v>18</v>
      </c>
      <c r="C118" t="s">
        <v>29</v>
      </c>
      <c r="D118" t="s">
        <v>56</v>
      </c>
      <c r="E118" t="s">
        <v>21</v>
      </c>
      <c r="F118">
        <v>25</v>
      </c>
      <c r="G118">
        <v>309</v>
      </c>
      <c r="H118" t="s">
        <v>70</v>
      </c>
      <c r="I118" t="s">
        <v>64</v>
      </c>
      <c r="J118" s="1">
        <v>45364</v>
      </c>
      <c r="K118" t="s">
        <v>24</v>
      </c>
      <c r="L118" t="s">
        <v>240</v>
      </c>
      <c r="M118" t="s">
        <v>62</v>
      </c>
      <c r="N118">
        <v>0</v>
      </c>
      <c r="O118">
        <v>2</v>
      </c>
      <c r="P118">
        <v>28</v>
      </c>
      <c r="Q118" t="s">
        <v>27</v>
      </c>
      <c r="R118">
        <f>IF(tblSubscriptions[[#This Row],[churned]] = "Yes",1,0)</f>
        <v>1</v>
      </c>
      <c r="S118">
        <f t="shared" si="5"/>
        <v>1</v>
      </c>
      <c r="T118">
        <f t="shared" si="6"/>
        <v>1</v>
      </c>
      <c r="U118">
        <f t="shared" si="7"/>
        <v>0</v>
      </c>
      <c r="V118">
        <f t="shared" si="8"/>
        <v>2</v>
      </c>
      <c r="W118" t="str">
        <f t="shared" si="9"/>
        <v>High Risk</v>
      </c>
    </row>
    <row r="119" spans="1:23">
      <c r="A119" t="s">
        <v>241</v>
      </c>
      <c r="B119" t="s">
        <v>18</v>
      </c>
      <c r="C119" t="s">
        <v>19</v>
      </c>
      <c r="D119" t="s">
        <v>44</v>
      </c>
      <c r="E119" t="s">
        <v>41</v>
      </c>
      <c r="F119">
        <v>17</v>
      </c>
      <c r="G119">
        <v>269</v>
      </c>
      <c r="H119" t="s">
        <v>36</v>
      </c>
      <c r="I119" t="s">
        <v>42</v>
      </c>
      <c r="J119" s="1">
        <v>45657</v>
      </c>
      <c r="K119" t="s">
        <v>24</v>
      </c>
      <c r="L119" t="s">
        <v>191</v>
      </c>
      <c r="M119" t="s">
        <v>75</v>
      </c>
      <c r="N119">
        <v>0</v>
      </c>
      <c r="O119">
        <v>5</v>
      </c>
      <c r="P119">
        <v>25</v>
      </c>
      <c r="Q119" t="s">
        <v>27</v>
      </c>
      <c r="R119">
        <f>IF(tblSubscriptions[[#This Row],[churned]] = "Yes",1,0)</f>
        <v>1</v>
      </c>
      <c r="S119">
        <f t="shared" si="5"/>
        <v>1</v>
      </c>
      <c r="T119">
        <f t="shared" si="6"/>
        <v>1</v>
      </c>
      <c r="U119">
        <f t="shared" si="7"/>
        <v>0</v>
      </c>
      <c r="V119">
        <f t="shared" si="8"/>
        <v>2</v>
      </c>
      <c r="W119" t="str">
        <f t="shared" si="9"/>
        <v>High Risk</v>
      </c>
    </row>
    <row r="120" spans="1:23">
      <c r="A120" t="s">
        <v>242</v>
      </c>
      <c r="B120" t="s">
        <v>18</v>
      </c>
      <c r="C120" t="s">
        <v>19</v>
      </c>
      <c r="D120" t="s">
        <v>73</v>
      </c>
      <c r="E120" t="s">
        <v>41</v>
      </c>
      <c r="F120">
        <v>28</v>
      </c>
      <c r="G120">
        <v>399</v>
      </c>
      <c r="H120" t="s">
        <v>22</v>
      </c>
      <c r="I120" t="s">
        <v>23</v>
      </c>
      <c r="J120" s="1">
        <v>44866</v>
      </c>
      <c r="K120" t="s">
        <v>27</v>
      </c>
      <c r="L120" t="s">
        <v>31</v>
      </c>
      <c r="M120" t="s">
        <v>31</v>
      </c>
      <c r="N120">
        <v>9</v>
      </c>
      <c r="O120">
        <v>8</v>
      </c>
      <c r="P120">
        <v>44</v>
      </c>
      <c r="Q120" t="s">
        <v>27</v>
      </c>
      <c r="R120">
        <f>IF(tblSubscriptions[[#This Row],[churned]] = "Yes",1,0)</f>
        <v>0</v>
      </c>
      <c r="S120">
        <f t="shared" si="5"/>
        <v>1</v>
      </c>
      <c r="T120">
        <f t="shared" si="6"/>
        <v>0</v>
      </c>
      <c r="U120">
        <f t="shared" si="7"/>
        <v>0</v>
      </c>
      <c r="V120">
        <f t="shared" si="8"/>
        <v>1</v>
      </c>
      <c r="W120" t="str">
        <f t="shared" si="9"/>
        <v>Medium Risk</v>
      </c>
    </row>
    <row r="121" spans="1:23">
      <c r="A121" t="s">
        <v>243</v>
      </c>
      <c r="B121" t="s">
        <v>18</v>
      </c>
      <c r="C121" t="s">
        <v>29</v>
      </c>
      <c r="D121" t="s">
        <v>34</v>
      </c>
      <c r="E121" t="s">
        <v>47</v>
      </c>
      <c r="F121">
        <v>2</v>
      </c>
      <c r="G121">
        <v>77</v>
      </c>
      <c r="H121" t="s">
        <v>36</v>
      </c>
      <c r="I121" t="s">
        <v>23</v>
      </c>
      <c r="J121" s="1">
        <v>44646</v>
      </c>
      <c r="K121" t="s">
        <v>27</v>
      </c>
      <c r="L121" t="s">
        <v>31</v>
      </c>
      <c r="M121" t="s">
        <v>31</v>
      </c>
      <c r="N121">
        <v>3</v>
      </c>
      <c r="O121">
        <v>4</v>
      </c>
      <c r="P121">
        <v>22</v>
      </c>
      <c r="Q121" t="s">
        <v>27</v>
      </c>
      <c r="R121">
        <f>IF(tblSubscriptions[[#This Row],[churned]] = "Yes",1,0)</f>
        <v>0</v>
      </c>
      <c r="S121">
        <f t="shared" si="5"/>
        <v>1</v>
      </c>
      <c r="T121">
        <f t="shared" si="6"/>
        <v>1</v>
      </c>
      <c r="U121">
        <f t="shared" si="7"/>
        <v>0</v>
      </c>
      <c r="V121">
        <f t="shared" si="8"/>
        <v>2</v>
      </c>
      <c r="W121" t="str">
        <f t="shared" si="9"/>
        <v>High Risk</v>
      </c>
    </row>
    <row r="122" spans="1:23">
      <c r="A122" t="s">
        <v>244</v>
      </c>
      <c r="B122" t="s">
        <v>33</v>
      </c>
      <c r="C122" t="s">
        <v>29</v>
      </c>
      <c r="D122" t="s">
        <v>56</v>
      </c>
      <c r="E122" t="s">
        <v>41</v>
      </c>
      <c r="F122">
        <v>32</v>
      </c>
      <c r="G122">
        <v>139</v>
      </c>
      <c r="H122" t="s">
        <v>22</v>
      </c>
      <c r="I122" t="s">
        <v>23</v>
      </c>
      <c r="J122" s="1">
        <v>45856</v>
      </c>
      <c r="K122" t="s">
        <v>27</v>
      </c>
      <c r="L122" t="s">
        <v>31</v>
      </c>
      <c r="M122" t="s">
        <v>31</v>
      </c>
      <c r="N122">
        <v>6</v>
      </c>
      <c r="O122">
        <v>2</v>
      </c>
      <c r="P122">
        <v>81</v>
      </c>
      <c r="Q122" t="s">
        <v>27</v>
      </c>
      <c r="R122">
        <f>IF(tblSubscriptions[[#This Row],[churned]] = "Yes",1,0)</f>
        <v>0</v>
      </c>
      <c r="S122">
        <f t="shared" si="5"/>
        <v>0</v>
      </c>
      <c r="T122">
        <f t="shared" si="6"/>
        <v>1</v>
      </c>
      <c r="U122">
        <f t="shared" si="7"/>
        <v>0</v>
      </c>
      <c r="V122">
        <f t="shared" si="8"/>
        <v>1</v>
      </c>
      <c r="W122" t="str">
        <f t="shared" si="9"/>
        <v>Medium Risk</v>
      </c>
    </row>
    <row r="123" spans="1:23">
      <c r="A123" t="s">
        <v>245</v>
      </c>
      <c r="B123" t="s">
        <v>39</v>
      </c>
      <c r="C123" t="s">
        <v>19</v>
      </c>
      <c r="D123" t="s">
        <v>44</v>
      </c>
      <c r="E123" t="s">
        <v>21</v>
      </c>
      <c r="F123">
        <v>72</v>
      </c>
      <c r="G123">
        <v>2318</v>
      </c>
      <c r="H123" t="s">
        <v>70</v>
      </c>
      <c r="I123" t="s">
        <v>23</v>
      </c>
      <c r="J123" s="1">
        <v>45480</v>
      </c>
      <c r="K123" t="s">
        <v>27</v>
      </c>
      <c r="L123" t="s">
        <v>31</v>
      </c>
      <c r="M123" t="s">
        <v>31</v>
      </c>
      <c r="N123">
        <v>4</v>
      </c>
      <c r="O123">
        <v>7</v>
      </c>
      <c r="P123">
        <v>50</v>
      </c>
      <c r="Q123" t="s">
        <v>24</v>
      </c>
      <c r="R123">
        <f>IF(tblSubscriptions[[#This Row],[churned]] = "Yes",1,0)</f>
        <v>0</v>
      </c>
      <c r="S123">
        <f t="shared" si="5"/>
        <v>0</v>
      </c>
      <c r="T123">
        <f t="shared" si="6"/>
        <v>0</v>
      </c>
      <c r="U123">
        <f t="shared" si="7"/>
        <v>0</v>
      </c>
      <c r="V123">
        <f t="shared" si="8"/>
        <v>0</v>
      </c>
      <c r="W123" t="str">
        <f t="shared" si="9"/>
        <v>Low Risk</v>
      </c>
    </row>
    <row r="124" spans="1:23">
      <c r="A124" t="s">
        <v>246</v>
      </c>
      <c r="B124" t="s">
        <v>33</v>
      </c>
      <c r="C124" t="s">
        <v>29</v>
      </c>
      <c r="D124" t="s">
        <v>60</v>
      </c>
      <c r="E124" t="s">
        <v>21</v>
      </c>
      <c r="F124">
        <v>26</v>
      </c>
      <c r="G124">
        <v>117</v>
      </c>
      <c r="H124" t="s">
        <v>22</v>
      </c>
      <c r="I124" t="s">
        <v>64</v>
      </c>
      <c r="J124" s="1">
        <v>45486</v>
      </c>
      <c r="K124" t="s">
        <v>27</v>
      </c>
      <c r="L124" t="s">
        <v>31</v>
      </c>
      <c r="M124" t="s">
        <v>31</v>
      </c>
      <c r="N124">
        <v>4</v>
      </c>
      <c r="O124">
        <v>4</v>
      </c>
      <c r="P124">
        <v>48</v>
      </c>
      <c r="Q124" t="s">
        <v>27</v>
      </c>
      <c r="R124">
        <f>IF(tblSubscriptions[[#This Row],[churned]] = "Yes",1,0)</f>
        <v>0</v>
      </c>
      <c r="S124">
        <f t="shared" si="5"/>
        <v>1</v>
      </c>
      <c r="T124">
        <f t="shared" si="6"/>
        <v>1</v>
      </c>
      <c r="U124">
        <f t="shared" si="7"/>
        <v>0</v>
      </c>
      <c r="V124">
        <f t="shared" si="8"/>
        <v>2</v>
      </c>
      <c r="W124" t="str">
        <f t="shared" si="9"/>
        <v>High Risk</v>
      </c>
    </row>
    <row r="125" spans="1:23">
      <c r="A125" t="s">
        <v>247</v>
      </c>
      <c r="B125" t="s">
        <v>18</v>
      </c>
      <c r="C125" t="s">
        <v>19</v>
      </c>
      <c r="D125" t="s">
        <v>83</v>
      </c>
      <c r="E125" t="s">
        <v>21</v>
      </c>
      <c r="F125">
        <v>71</v>
      </c>
      <c r="G125">
        <v>909</v>
      </c>
      <c r="H125" t="s">
        <v>48</v>
      </c>
      <c r="I125" t="s">
        <v>23</v>
      </c>
      <c r="J125" s="1">
        <v>44910</v>
      </c>
      <c r="K125" t="s">
        <v>27</v>
      </c>
      <c r="L125" t="s">
        <v>31</v>
      </c>
      <c r="M125" t="s">
        <v>31</v>
      </c>
      <c r="N125">
        <v>2</v>
      </c>
      <c r="O125">
        <v>5</v>
      </c>
      <c r="P125">
        <v>31</v>
      </c>
      <c r="Q125" t="s">
        <v>27</v>
      </c>
      <c r="R125">
        <f>IF(tblSubscriptions[[#This Row],[churned]] = "Yes",1,0)</f>
        <v>0</v>
      </c>
      <c r="S125">
        <f t="shared" si="5"/>
        <v>1</v>
      </c>
      <c r="T125">
        <f t="shared" si="6"/>
        <v>1</v>
      </c>
      <c r="U125">
        <f t="shared" si="7"/>
        <v>0</v>
      </c>
      <c r="V125">
        <f t="shared" si="8"/>
        <v>2</v>
      </c>
      <c r="W125" t="str">
        <f t="shared" si="9"/>
        <v>High Risk</v>
      </c>
    </row>
    <row r="126" spans="1:23">
      <c r="A126" t="s">
        <v>248</v>
      </c>
      <c r="B126" t="s">
        <v>39</v>
      </c>
      <c r="C126" t="s">
        <v>29</v>
      </c>
      <c r="D126" t="s">
        <v>83</v>
      </c>
      <c r="E126" t="s">
        <v>47</v>
      </c>
      <c r="F126">
        <v>4</v>
      </c>
      <c r="G126">
        <v>245</v>
      </c>
      <c r="H126" t="s">
        <v>70</v>
      </c>
      <c r="I126" t="s">
        <v>42</v>
      </c>
      <c r="J126" s="1">
        <v>45728</v>
      </c>
      <c r="K126" t="s">
        <v>27</v>
      </c>
      <c r="L126" t="s">
        <v>31</v>
      </c>
      <c r="M126" t="s">
        <v>31</v>
      </c>
      <c r="N126">
        <v>11</v>
      </c>
      <c r="O126">
        <v>6</v>
      </c>
      <c r="P126">
        <v>36</v>
      </c>
      <c r="Q126" t="s">
        <v>24</v>
      </c>
      <c r="R126">
        <f>IF(tblSubscriptions[[#This Row],[churned]] = "Yes",1,0)</f>
        <v>0</v>
      </c>
      <c r="S126">
        <f t="shared" si="5"/>
        <v>1</v>
      </c>
      <c r="T126">
        <f t="shared" si="6"/>
        <v>1</v>
      </c>
      <c r="U126">
        <f t="shared" si="7"/>
        <v>1</v>
      </c>
      <c r="V126">
        <f t="shared" si="8"/>
        <v>3</v>
      </c>
      <c r="W126" t="str">
        <f t="shared" si="9"/>
        <v>High Risk</v>
      </c>
    </row>
    <row r="127" spans="1:23">
      <c r="A127" t="s">
        <v>249</v>
      </c>
      <c r="B127" t="s">
        <v>18</v>
      </c>
      <c r="C127" t="s">
        <v>19</v>
      </c>
      <c r="D127" t="s">
        <v>60</v>
      </c>
      <c r="E127" t="s">
        <v>41</v>
      </c>
      <c r="F127">
        <v>20</v>
      </c>
      <c r="G127">
        <v>304</v>
      </c>
      <c r="H127" t="s">
        <v>22</v>
      </c>
      <c r="I127" t="s">
        <v>23</v>
      </c>
      <c r="J127" s="1">
        <v>45091</v>
      </c>
      <c r="K127" t="s">
        <v>27</v>
      </c>
      <c r="L127" t="s">
        <v>31</v>
      </c>
      <c r="M127" t="s">
        <v>31</v>
      </c>
      <c r="N127">
        <v>1</v>
      </c>
      <c r="O127">
        <v>5</v>
      </c>
      <c r="P127">
        <v>40</v>
      </c>
      <c r="Q127" t="s">
        <v>24</v>
      </c>
      <c r="R127">
        <f>IF(tblSubscriptions[[#This Row],[churned]] = "Yes",1,0)</f>
        <v>0</v>
      </c>
      <c r="S127">
        <f t="shared" si="5"/>
        <v>1</v>
      </c>
      <c r="T127">
        <f t="shared" si="6"/>
        <v>1</v>
      </c>
      <c r="U127">
        <f t="shared" si="7"/>
        <v>0</v>
      </c>
      <c r="V127">
        <f t="shared" si="8"/>
        <v>2</v>
      </c>
      <c r="W127" t="str">
        <f t="shared" si="9"/>
        <v>High Risk</v>
      </c>
    </row>
    <row r="128" spans="1:23">
      <c r="A128" t="s">
        <v>250</v>
      </c>
      <c r="B128" t="s">
        <v>33</v>
      </c>
      <c r="C128" t="s">
        <v>19</v>
      </c>
      <c r="D128" t="s">
        <v>97</v>
      </c>
      <c r="E128" t="s">
        <v>41</v>
      </c>
      <c r="F128">
        <v>27</v>
      </c>
      <c r="G128">
        <v>142</v>
      </c>
      <c r="H128" t="s">
        <v>70</v>
      </c>
      <c r="I128" t="s">
        <v>23</v>
      </c>
      <c r="J128" s="1">
        <v>45636</v>
      </c>
      <c r="K128" t="s">
        <v>24</v>
      </c>
      <c r="L128" t="s">
        <v>251</v>
      </c>
      <c r="M128" t="s">
        <v>66</v>
      </c>
      <c r="N128">
        <v>3</v>
      </c>
      <c r="O128">
        <v>3</v>
      </c>
      <c r="P128">
        <v>38</v>
      </c>
      <c r="Q128" t="s">
        <v>27</v>
      </c>
      <c r="R128">
        <f>IF(tblSubscriptions[[#This Row],[churned]] = "Yes",1,0)</f>
        <v>1</v>
      </c>
      <c r="S128">
        <f t="shared" si="5"/>
        <v>1</v>
      </c>
      <c r="T128">
        <f t="shared" si="6"/>
        <v>1</v>
      </c>
      <c r="U128">
        <f t="shared" si="7"/>
        <v>0</v>
      </c>
      <c r="V128">
        <f t="shared" si="8"/>
        <v>2</v>
      </c>
      <c r="W128" t="str">
        <f t="shared" si="9"/>
        <v>High Risk</v>
      </c>
    </row>
    <row r="129" spans="1:23">
      <c r="A129" t="s">
        <v>252</v>
      </c>
      <c r="B129" t="s">
        <v>33</v>
      </c>
      <c r="C129" t="s">
        <v>19</v>
      </c>
      <c r="D129" t="s">
        <v>20</v>
      </c>
      <c r="E129" t="s">
        <v>50</v>
      </c>
      <c r="F129">
        <v>46</v>
      </c>
      <c r="G129">
        <v>225</v>
      </c>
      <c r="H129" t="s">
        <v>70</v>
      </c>
      <c r="I129" t="s">
        <v>64</v>
      </c>
      <c r="J129" s="1">
        <v>44925</v>
      </c>
      <c r="K129" t="s">
        <v>24</v>
      </c>
      <c r="L129" t="s">
        <v>253</v>
      </c>
      <c r="M129" t="s">
        <v>75</v>
      </c>
      <c r="N129">
        <v>10</v>
      </c>
      <c r="O129">
        <v>2</v>
      </c>
      <c r="P129">
        <v>33</v>
      </c>
      <c r="Q129" t="s">
        <v>27</v>
      </c>
      <c r="R129">
        <f>IF(tblSubscriptions[[#This Row],[churned]] = "Yes",1,0)</f>
        <v>1</v>
      </c>
      <c r="S129">
        <f t="shared" si="5"/>
        <v>1</v>
      </c>
      <c r="T129">
        <f t="shared" si="6"/>
        <v>1</v>
      </c>
      <c r="U129">
        <f t="shared" si="7"/>
        <v>0</v>
      </c>
      <c r="V129">
        <f t="shared" si="8"/>
        <v>2</v>
      </c>
      <c r="W129" t="str">
        <f t="shared" si="9"/>
        <v>High Risk</v>
      </c>
    </row>
    <row r="130" spans="1:23">
      <c r="A130" t="s">
        <v>254</v>
      </c>
      <c r="B130" t="s">
        <v>33</v>
      </c>
      <c r="C130" t="s">
        <v>19</v>
      </c>
      <c r="D130" t="s">
        <v>34</v>
      </c>
      <c r="E130" t="s">
        <v>21</v>
      </c>
      <c r="F130">
        <v>31</v>
      </c>
      <c r="G130">
        <v>160</v>
      </c>
      <c r="H130" t="s">
        <v>48</v>
      </c>
      <c r="I130" t="s">
        <v>23</v>
      </c>
      <c r="J130" s="1">
        <v>44797</v>
      </c>
      <c r="K130" t="s">
        <v>24</v>
      </c>
      <c r="L130" t="s">
        <v>71</v>
      </c>
      <c r="M130" t="s">
        <v>102</v>
      </c>
      <c r="N130">
        <v>10</v>
      </c>
      <c r="O130">
        <v>4</v>
      </c>
      <c r="P130">
        <v>22</v>
      </c>
      <c r="Q130" t="s">
        <v>27</v>
      </c>
      <c r="R130">
        <f>IF(tblSubscriptions[[#This Row],[churned]] = "Yes",1,0)</f>
        <v>1</v>
      </c>
      <c r="S130">
        <f t="shared" ref="S130:S193" si="10">IF(P130&lt;50,1,0)</f>
        <v>1</v>
      </c>
      <c r="T130">
        <f t="shared" ref="T130:T193" si="11">IF(O130&lt;=6,1,0)</f>
        <v>1</v>
      </c>
      <c r="U130">
        <f t="shared" ref="U130:U193" si="12">IF(N130&gt;=11,1,0)</f>
        <v>0</v>
      </c>
      <c r="V130">
        <f t="shared" ref="V130:V193" si="13">S130+T130+U130</f>
        <v>2</v>
      </c>
      <c r="W130" t="str">
        <f t="shared" ref="W130:W193" si="14">IF(V130&gt;=2,"High Risk",IF(V130=1,"Medium Risk","Low Risk"))</f>
        <v>High Risk</v>
      </c>
    </row>
    <row r="131" spans="1:23">
      <c r="A131" t="s">
        <v>255</v>
      </c>
      <c r="B131" t="s">
        <v>18</v>
      </c>
      <c r="C131" t="s">
        <v>19</v>
      </c>
      <c r="D131" t="s">
        <v>44</v>
      </c>
      <c r="E131" t="s">
        <v>47</v>
      </c>
      <c r="F131">
        <v>8</v>
      </c>
      <c r="G131">
        <v>162</v>
      </c>
      <c r="H131" t="s">
        <v>22</v>
      </c>
      <c r="I131" t="s">
        <v>84</v>
      </c>
      <c r="J131" s="1">
        <v>45842</v>
      </c>
      <c r="K131" t="s">
        <v>27</v>
      </c>
      <c r="L131" t="s">
        <v>31</v>
      </c>
      <c r="M131" t="s">
        <v>31</v>
      </c>
      <c r="N131">
        <v>6</v>
      </c>
      <c r="O131">
        <v>1</v>
      </c>
      <c r="P131">
        <v>68</v>
      </c>
      <c r="Q131" t="s">
        <v>27</v>
      </c>
      <c r="R131">
        <f>IF(tblSubscriptions[[#This Row],[churned]] = "Yes",1,0)</f>
        <v>0</v>
      </c>
      <c r="S131">
        <f t="shared" si="10"/>
        <v>0</v>
      </c>
      <c r="T131">
        <f t="shared" si="11"/>
        <v>1</v>
      </c>
      <c r="U131">
        <f t="shared" si="12"/>
        <v>0</v>
      </c>
      <c r="V131">
        <f t="shared" si="13"/>
        <v>1</v>
      </c>
      <c r="W131" t="str">
        <f t="shared" si="14"/>
        <v>Medium Risk</v>
      </c>
    </row>
    <row r="132" spans="1:23">
      <c r="A132" t="s">
        <v>256</v>
      </c>
      <c r="B132" t="s">
        <v>39</v>
      </c>
      <c r="C132" t="s">
        <v>29</v>
      </c>
      <c r="D132" t="s">
        <v>83</v>
      </c>
      <c r="E132" t="s">
        <v>41</v>
      </c>
      <c r="F132">
        <v>6</v>
      </c>
      <c r="G132">
        <v>296</v>
      </c>
      <c r="H132" t="s">
        <v>36</v>
      </c>
      <c r="I132" t="s">
        <v>84</v>
      </c>
      <c r="J132" s="1">
        <v>45659</v>
      </c>
      <c r="K132" t="s">
        <v>27</v>
      </c>
      <c r="L132" t="s">
        <v>31</v>
      </c>
      <c r="M132" t="s">
        <v>31</v>
      </c>
      <c r="N132">
        <v>11</v>
      </c>
      <c r="O132">
        <v>9</v>
      </c>
      <c r="P132">
        <v>36</v>
      </c>
      <c r="Q132" t="s">
        <v>27</v>
      </c>
      <c r="R132">
        <f>IF(tblSubscriptions[[#This Row],[churned]] = "Yes",1,0)</f>
        <v>0</v>
      </c>
      <c r="S132">
        <f t="shared" si="10"/>
        <v>1</v>
      </c>
      <c r="T132">
        <f t="shared" si="11"/>
        <v>0</v>
      </c>
      <c r="U132">
        <f t="shared" si="12"/>
        <v>1</v>
      </c>
      <c r="V132">
        <f t="shared" si="13"/>
        <v>2</v>
      </c>
      <c r="W132" t="str">
        <f t="shared" si="14"/>
        <v>High Risk</v>
      </c>
    </row>
    <row r="133" spans="1:23">
      <c r="A133" t="s">
        <v>257</v>
      </c>
      <c r="B133" t="s">
        <v>33</v>
      </c>
      <c r="C133" t="s">
        <v>29</v>
      </c>
      <c r="D133" t="s">
        <v>97</v>
      </c>
      <c r="E133" t="s">
        <v>47</v>
      </c>
      <c r="F133">
        <v>8</v>
      </c>
      <c r="G133">
        <v>51</v>
      </c>
      <c r="H133" t="s">
        <v>124</v>
      </c>
      <c r="I133" t="s">
        <v>23</v>
      </c>
      <c r="J133" s="1">
        <v>45950</v>
      </c>
      <c r="K133" t="s">
        <v>27</v>
      </c>
      <c r="L133" t="s">
        <v>31</v>
      </c>
      <c r="M133" t="s">
        <v>31</v>
      </c>
      <c r="N133">
        <v>7</v>
      </c>
      <c r="O133">
        <v>3</v>
      </c>
      <c r="P133">
        <v>90</v>
      </c>
      <c r="Q133" t="s">
        <v>27</v>
      </c>
      <c r="R133">
        <f>IF(tblSubscriptions[[#This Row],[churned]] = "Yes",1,0)</f>
        <v>0</v>
      </c>
      <c r="S133">
        <f t="shared" si="10"/>
        <v>0</v>
      </c>
      <c r="T133">
        <f t="shared" si="11"/>
        <v>1</v>
      </c>
      <c r="U133">
        <f t="shared" si="12"/>
        <v>0</v>
      </c>
      <c r="V133">
        <f t="shared" si="13"/>
        <v>1</v>
      </c>
      <c r="W133" t="str">
        <f t="shared" si="14"/>
        <v>Medium Risk</v>
      </c>
    </row>
    <row r="134" spans="1:23">
      <c r="A134" t="s">
        <v>258</v>
      </c>
      <c r="B134" t="s">
        <v>87</v>
      </c>
      <c r="C134" t="s">
        <v>19</v>
      </c>
      <c r="D134" t="s">
        <v>97</v>
      </c>
      <c r="E134" t="s">
        <v>47</v>
      </c>
      <c r="F134">
        <v>1</v>
      </c>
      <c r="G134">
        <v>499</v>
      </c>
      <c r="H134" t="s">
        <v>48</v>
      </c>
      <c r="I134" t="s">
        <v>23</v>
      </c>
      <c r="J134" s="1">
        <v>45727</v>
      </c>
      <c r="K134" t="s">
        <v>27</v>
      </c>
      <c r="L134" t="s">
        <v>31</v>
      </c>
      <c r="M134" t="s">
        <v>31</v>
      </c>
      <c r="N134">
        <v>7</v>
      </c>
      <c r="O134">
        <v>8</v>
      </c>
      <c r="P134">
        <v>22</v>
      </c>
      <c r="Q134" t="s">
        <v>27</v>
      </c>
      <c r="R134">
        <f>IF(tblSubscriptions[[#This Row],[churned]] = "Yes",1,0)</f>
        <v>0</v>
      </c>
      <c r="S134">
        <f t="shared" si="10"/>
        <v>1</v>
      </c>
      <c r="T134">
        <f t="shared" si="11"/>
        <v>0</v>
      </c>
      <c r="U134">
        <f t="shared" si="12"/>
        <v>0</v>
      </c>
      <c r="V134">
        <f t="shared" si="13"/>
        <v>1</v>
      </c>
      <c r="W134" t="str">
        <f t="shared" si="14"/>
        <v>Medium Risk</v>
      </c>
    </row>
    <row r="135" spans="1:23">
      <c r="A135" t="s">
        <v>259</v>
      </c>
      <c r="B135" t="s">
        <v>39</v>
      </c>
      <c r="C135" t="s">
        <v>29</v>
      </c>
      <c r="D135" t="s">
        <v>44</v>
      </c>
      <c r="E135" t="s">
        <v>21</v>
      </c>
      <c r="F135">
        <v>71</v>
      </c>
      <c r="G135">
        <v>1945</v>
      </c>
      <c r="H135" t="s">
        <v>48</v>
      </c>
      <c r="I135" t="s">
        <v>84</v>
      </c>
      <c r="J135" s="1">
        <v>44607</v>
      </c>
      <c r="K135" t="s">
        <v>24</v>
      </c>
      <c r="L135" t="s">
        <v>260</v>
      </c>
      <c r="M135" t="s">
        <v>102</v>
      </c>
      <c r="N135">
        <v>11</v>
      </c>
      <c r="O135">
        <v>5</v>
      </c>
      <c r="P135">
        <v>31</v>
      </c>
      <c r="Q135" t="s">
        <v>27</v>
      </c>
      <c r="R135">
        <f>IF(tblSubscriptions[[#This Row],[churned]] = "Yes",1,0)</f>
        <v>1</v>
      </c>
      <c r="S135">
        <f t="shared" si="10"/>
        <v>1</v>
      </c>
      <c r="T135">
        <f t="shared" si="11"/>
        <v>1</v>
      </c>
      <c r="U135">
        <f t="shared" si="12"/>
        <v>1</v>
      </c>
      <c r="V135">
        <f t="shared" si="13"/>
        <v>3</v>
      </c>
      <c r="W135" t="str">
        <f t="shared" si="14"/>
        <v>High Risk</v>
      </c>
    </row>
    <row r="136" spans="1:23">
      <c r="A136" t="s">
        <v>261</v>
      </c>
      <c r="B136" t="s">
        <v>18</v>
      </c>
      <c r="C136" t="s">
        <v>19</v>
      </c>
      <c r="D136" t="s">
        <v>20</v>
      </c>
      <c r="E136" t="s">
        <v>41</v>
      </c>
      <c r="F136">
        <v>25</v>
      </c>
      <c r="G136">
        <v>363</v>
      </c>
      <c r="H136" t="s">
        <v>70</v>
      </c>
      <c r="I136" t="s">
        <v>64</v>
      </c>
      <c r="J136" s="1">
        <v>44789</v>
      </c>
      <c r="K136" t="s">
        <v>27</v>
      </c>
      <c r="L136" t="s">
        <v>31</v>
      </c>
      <c r="M136" t="s">
        <v>31</v>
      </c>
      <c r="N136">
        <v>5</v>
      </c>
      <c r="O136">
        <v>9</v>
      </c>
      <c r="P136">
        <v>85</v>
      </c>
      <c r="Q136" t="s">
        <v>27</v>
      </c>
      <c r="R136">
        <f>IF(tblSubscriptions[[#This Row],[churned]] = "Yes",1,0)</f>
        <v>0</v>
      </c>
      <c r="S136">
        <f t="shared" si="10"/>
        <v>0</v>
      </c>
      <c r="T136">
        <f t="shared" si="11"/>
        <v>0</v>
      </c>
      <c r="U136">
        <f t="shared" si="12"/>
        <v>0</v>
      </c>
      <c r="V136">
        <f t="shared" si="13"/>
        <v>0</v>
      </c>
      <c r="W136" t="str">
        <f t="shared" si="14"/>
        <v>Low Risk</v>
      </c>
    </row>
    <row r="137" spans="1:23">
      <c r="A137" t="s">
        <v>262</v>
      </c>
      <c r="B137" t="s">
        <v>18</v>
      </c>
      <c r="C137" t="s">
        <v>29</v>
      </c>
      <c r="D137" t="s">
        <v>46</v>
      </c>
      <c r="E137" t="s">
        <v>35</v>
      </c>
      <c r="F137">
        <v>106</v>
      </c>
      <c r="G137">
        <v>1125</v>
      </c>
      <c r="H137" t="s">
        <v>36</v>
      </c>
      <c r="I137" t="s">
        <v>23</v>
      </c>
      <c r="J137" s="1">
        <v>44626</v>
      </c>
      <c r="K137" t="s">
        <v>27</v>
      </c>
      <c r="L137" t="s">
        <v>31</v>
      </c>
      <c r="M137" t="s">
        <v>31</v>
      </c>
      <c r="N137">
        <v>4</v>
      </c>
      <c r="O137">
        <v>4</v>
      </c>
      <c r="P137">
        <v>87</v>
      </c>
      <c r="Q137" t="s">
        <v>27</v>
      </c>
      <c r="R137">
        <f>IF(tblSubscriptions[[#This Row],[churned]] = "Yes",1,0)</f>
        <v>0</v>
      </c>
      <c r="S137">
        <f t="shared" si="10"/>
        <v>0</v>
      </c>
      <c r="T137">
        <f t="shared" si="11"/>
        <v>1</v>
      </c>
      <c r="U137">
        <f t="shared" si="12"/>
        <v>0</v>
      </c>
      <c r="V137">
        <f t="shared" si="13"/>
        <v>1</v>
      </c>
      <c r="W137" t="str">
        <f t="shared" si="14"/>
        <v>Medium Risk</v>
      </c>
    </row>
    <row r="138" spans="1:23">
      <c r="A138" t="s">
        <v>263</v>
      </c>
      <c r="B138" t="s">
        <v>33</v>
      </c>
      <c r="C138" t="s">
        <v>29</v>
      </c>
      <c r="D138" t="s">
        <v>40</v>
      </c>
      <c r="E138" t="s">
        <v>41</v>
      </c>
      <c r="F138">
        <v>9</v>
      </c>
      <c r="G138">
        <v>54</v>
      </c>
      <c r="H138" t="s">
        <v>22</v>
      </c>
      <c r="I138" t="s">
        <v>23</v>
      </c>
      <c r="J138" s="1">
        <v>45053</v>
      </c>
      <c r="K138" t="s">
        <v>24</v>
      </c>
      <c r="L138" t="s">
        <v>264</v>
      </c>
      <c r="M138" t="s">
        <v>52</v>
      </c>
      <c r="N138">
        <v>4</v>
      </c>
      <c r="O138">
        <v>2</v>
      </c>
      <c r="P138">
        <v>41</v>
      </c>
      <c r="Q138" t="s">
        <v>27</v>
      </c>
      <c r="R138">
        <f>IF(tblSubscriptions[[#This Row],[churned]] = "Yes",1,0)</f>
        <v>1</v>
      </c>
      <c r="S138">
        <f t="shared" si="10"/>
        <v>1</v>
      </c>
      <c r="T138">
        <f t="shared" si="11"/>
        <v>1</v>
      </c>
      <c r="U138">
        <f t="shared" si="12"/>
        <v>0</v>
      </c>
      <c r="V138">
        <f t="shared" si="13"/>
        <v>2</v>
      </c>
      <c r="W138" t="str">
        <f t="shared" si="14"/>
        <v>High Risk</v>
      </c>
    </row>
    <row r="139" spans="1:23">
      <c r="A139" t="s">
        <v>265</v>
      </c>
      <c r="B139" t="s">
        <v>33</v>
      </c>
      <c r="C139" t="s">
        <v>19</v>
      </c>
      <c r="D139" t="s">
        <v>60</v>
      </c>
      <c r="E139" t="s">
        <v>41</v>
      </c>
      <c r="F139">
        <v>21</v>
      </c>
      <c r="G139">
        <v>116</v>
      </c>
      <c r="H139" t="s">
        <v>30</v>
      </c>
      <c r="I139" t="s">
        <v>42</v>
      </c>
      <c r="J139" s="1">
        <v>44774</v>
      </c>
      <c r="K139" t="s">
        <v>24</v>
      </c>
      <c r="L139" t="s">
        <v>266</v>
      </c>
      <c r="M139" t="s">
        <v>26</v>
      </c>
      <c r="N139">
        <v>1</v>
      </c>
      <c r="O139">
        <v>3</v>
      </c>
      <c r="P139">
        <v>19</v>
      </c>
      <c r="Q139" t="s">
        <v>27</v>
      </c>
      <c r="R139">
        <f>IF(tblSubscriptions[[#This Row],[churned]] = "Yes",1,0)</f>
        <v>1</v>
      </c>
      <c r="S139">
        <f t="shared" si="10"/>
        <v>1</v>
      </c>
      <c r="T139">
        <f t="shared" si="11"/>
        <v>1</v>
      </c>
      <c r="U139">
        <f t="shared" si="12"/>
        <v>0</v>
      </c>
      <c r="V139">
        <f t="shared" si="13"/>
        <v>2</v>
      </c>
      <c r="W139" t="str">
        <f t="shared" si="14"/>
        <v>High Risk</v>
      </c>
    </row>
    <row r="140" spans="1:23">
      <c r="A140" t="s">
        <v>267</v>
      </c>
      <c r="B140" t="s">
        <v>33</v>
      </c>
      <c r="C140" t="s">
        <v>19</v>
      </c>
      <c r="D140" t="s">
        <v>34</v>
      </c>
      <c r="E140" t="s">
        <v>41</v>
      </c>
      <c r="F140">
        <v>5</v>
      </c>
      <c r="G140">
        <v>46</v>
      </c>
      <c r="H140" t="s">
        <v>48</v>
      </c>
      <c r="I140" t="s">
        <v>23</v>
      </c>
      <c r="J140" s="1">
        <v>45663</v>
      </c>
      <c r="K140" t="s">
        <v>24</v>
      </c>
      <c r="L140" t="s">
        <v>268</v>
      </c>
      <c r="M140" t="s">
        <v>62</v>
      </c>
      <c r="N140">
        <v>7</v>
      </c>
      <c r="O140">
        <v>3</v>
      </c>
      <c r="P140">
        <v>22</v>
      </c>
      <c r="Q140" t="s">
        <v>27</v>
      </c>
      <c r="R140">
        <f>IF(tblSubscriptions[[#This Row],[churned]] = "Yes",1,0)</f>
        <v>1</v>
      </c>
      <c r="S140">
        <f t="shared" si="10"/>
        <v>1</v>
      </c>
      <c r="T140">
        <f t="shared" si="11"/>
        <v>1</v>
      </c>
      <c r="U140">
        <f t="shared" si="12"/>
        <v>0</v>
      </c>
      <c r="V140">
        <f t="shared" si="13"/>
        <v>2</v>
      </c>
      <c r="W140" t="str">
        <f t="shared" si="14"/>
        <v>High Risk</v>
      </c>
    </row>
    <row r="141" spans="1:23">
      <c r="A141" t="s">
        <v>269</v>
      </c>
      <c r="B141" t="s">
        <v>33</v>
      </c>
      <c r="C141" t="s">
        <v>19</v>
      </c>
      <c r="D141" t="s">
        <v>20</v>
      </c>
      <c r="E141" t="s">
        <v>50</v>
      </c>
      <c r="F141">
        <v>131</v>
      </c>
      <c r="G141">
        <v>595</v>
      </c>
      <c r="H141" t="s">
        <v>36</v>
      </c>
      <c r="I141" t="s">
        <v>23</v>
      </c>
      <c r="J141" s="1">
        <v>44613</v>
      </c>
      <c r="K141" t="s">
        <v>24</v>
      </c>
      <c r="L141" t="s">
        <v>270</v>
      </c>
      <c r="M141" t="s">
        <v>66</v>
      </c>
      <c r="N141">
        <v>9</v>
      </c>
      <c r="O141">
        <v>3</v>
      </c>
      <c r="P141">
        <v>16</v>
      </c>
      <c r="Q141" t="s">
        <v>27</v>
      </c>
      <c r="R141">
        <f>IF(tblSubscriptions[[#This Row],[churned]] = "Yes",1,0)</f>
        <v>1</v>
      </c>
      <c r="S141">
        <f t="shared" si="10"/>
        <v>1</v>
      </c>
      <c r="T141">
        <f t="shared" si="11"/>
        <v>1</v>
      </c>
      <c r="U141">
        <f t="shared" si="12"/>
        <v>0</v>
      </c>
      <c r="V141">
        <f t="shared" si="13"/>
        <v>2</v>
      </c>
      <c r="W141" t="str">
        <f t="shared" si="14"/>
        <v>High Risk</v>
      </c>
    </row>
    <row r="142" spans="1:23">
      <c r="A142" t="s">
        <v>271</v>
      </c>
      <c r="B142" t="s">
        <v>39</v>
      </c>
      <c r="C142" t="s">
        <v>29</v>
      </c>
      <c r="D142" t="s">
        <v>83</v>
      </c>
      <c r="E142" t="s">
        <v>21</v>
      </c>
      <c r="F142">
        <v>18</v>
      </c>
      <c r="G142">
        <v>600</v>
      </c>
      <c r="H142" t="s">
        <v>70</v>
      </c>
      <c r="I142" t="s">
        <v>23</v>
      </c>
      <c r="J142" s="1">
        <v>45368</v>
      </c>
      <c r="K142" t="s">
        <v>27</v>
      </c>
      <c r="L142" t="s">
        <v>31</v>
      </c>
      <c r="M142" t="s">
        <v>31</v>
      </c>
      <c r="N142">
        <v>8</v>
      </c>
      <c r="O142">
        <v>4</v>
      </c>
      <c r="P142">
        <v>33</v>
      </c>
      <c r="Q142" t="s">
        <v>27</v>
      </c>
      <c r="R142">
        <f>IF(tblSubscriptions[[#This Row],[churned]] = "Yes",1,0)</f>
        <v>0</v>
      </c>
      <c r="S142">
        <f t="shared" si="10"/>
        <v>1</v>
      </c>
      <c r="T142">
        <f t="shared" si="11"/>
        <v>1</v>
      </c>
      <c r="U142">
        <f t="shared" si="12"/>
        <v>0</v>
      </c>
      <c r="V142">
        <f t="shared" si="13"/>
        <v>2</v>
      </c>
      <c r="W142" t="str">
        <f t="shared" si="14"/>
        <v>High Risk</v>
      </c>
    </row>
    <row r="143" spans="1:23">
      <c r="A143" t="s">
        <v>272</v>
      </c>
      <c r="B143" t="s">
        <v>33</v>
      </c>
      <c r="C143" t="s">
        <v>29</v>
      </c>
      <c r="D143" t="s">
        <v>73</v>
      </c>
      <c r="E143" t="s">
        <v>21</v>
      </c>
      <c r="F143">
        <v>28</v>
      </c>
      <c r="G143">
        <v>124</v>
      </c>
      <c r="H143" t="s">
        <v>124</v>
      </c>
      <c r="I143" t="s">
        <v>23</v>
      </c>
      <c r="J143" s="1">
        <v>45534</v>
      </c>
      <c r="K143" t="s">
        <v>27</v>
      </c>
      <c r="L143" t="s">
        <v>31</v>
      </c>
      <c r="M143" t="s">
        <v>31</v>
      </c>
      <c r="N143">
        <v>8</v>
      </c>
      <c r="O143">
        <v>3</v>
      </c>
      <c r="P143">
        <v>32</v>
      </c>
      <c r="Q143" t="s">
        <v>27</v>
      </c>
      <c r="R143">
        <f>IF(tblSubscriptions[[#This Row],[churned]] = "Yes",1,0)</f>
        <v>0</v>
      </c>
      <c r="S143">
        <f t="shared" si="10"/>
        <v>1</v>
      </c>
      <c r="T143">
        <f t="shared" si="11"/>
        <v>1</v>
      </c>
      <c r="U143">
        <f t="shared" si="12"/>
        <v>0</v>
      </c>
      <c r="V143">
        <f t="shared" si="13"/>
        <v>2</v>
      </c>
      <c r="W143" t="str">
        <f t="shared" si="14"/>
        <v>High Risk</v>
      </c>
    </row>
    <row r="144" spans="1:23">
      <c r="A144" t="s">
        <v>273</v>
      </c>
      <c r="B144" t="s">
        <v>39</v>
      </c>
      <c r="C144" t="s">
        <v>29</v>
      </c>
      <c r="D144" t="s">
        <v>34</v>
      </c>
      <c r="E144" t="s">
        <v>47</v>
      </c>
      <c r="F144">
        <v>7</v>
      </c>
      <c r="G144">
        <v>321</v>
      </c>
      <c r="H144" t="s">
        <v>22</v>
      </c>
      <c r="I144" t="s">
        <v>23</v>
      </c>
      <c r="J144" s="1">
        <v>45928</v>
      </c>
      <c r="K144" t="s">
        <v>27</v>
      </c>
      <c r="L144" t="s">
        <v>31</v>
      </c>
      <c r="M144" t="s">
        <v>31</v>
      </c>
      <c r="N144">
        <v>12</v>
      </c>
      <c r="O144">
        <v>1</v>
      </c>
      <c r="P144">
        <v>43</v>
      </c>
      <c r="Q144" t="s">
        <v>27</v>
      </c>
      <c r="R144">
        <f>IF(tblSubscriptions[[#This Row],[churned]] = "Yes",1,0)</f>
        <v>0</v>
      </c>
      <c r="S144">
        <f t="shared" si="10"/>
        <v>1</v>
      </c>
      <c r="T144">
        <f t="shared" si="11"/>
        <v>1</v>
      </c>
      <c r="U144">
        <f t="shared" si="12"/>
        <v>1</v>
      </c>
      <c r="V144">
        <f t="shared" si="13"/>
        <v>3</v>
      </c>
      <c r="W144" t="str">
        <f t="shared" si="14"/>
        <v>High Risk</v>
      </c>
    </row>
    <row r="145" spans="1:23">
      <c r="A145" t="s">
        <v>274</v>
      </c>
      <c r="B145" t="s">
        <v>33</v>
      </c>
      <c r="C145" t="s">
        <v>19</v>
      </c>
      <c r="D145" t="s">
        <v>40</v>
      </c>
      <c r="E145" t="s">
        <v>47</v>
      </c>
      <c r="F145">
        <v>6</v>
      </c>
      <c r="G145">
        <v>51</v>
      </c>
      <c r="H145" t="s">
        <v>22</v>
      </c>
      <c r="I145" t="s">
        <v>23</v>
      </c>
      <c r="J145" s="1">
        <v>45018</v>
      </c>
      <c r="K145" t="s">
        <v>24</v>
      </c>
      <c r="L145" t="s">
        <v>275</v>
      </c>
      <c r="M145" t="s">
        <v>102</v>
      </c>
      <c r="N145">
        <v>3</v>
      </c>
      <c r="O145">
        <v>1</v>
      </c>
      <c r="P145">
        <v>44</v>
      </c>
      <c r="Q145" t="s">
        <v>27</v>
      </c>
      <c r="R145">
        <f>IF(tblSubscriptions[[#This Row],[churned]] = "Yes",1,0)</f>
        <v>1</v>
      </c>
      <c r="S145">
        <f t="shared" si="10"/>
        <v>1</v>
      </c>
      <c r="T145">
        <f t="shared" si="11"/>
        <v>1</v>
      </c>
      <c r="U145">
        <f t="shared" si="12"/>
        <v>0</v>
      </c>
      <c r="V145">
        <f t="shared" si="13"/>
        <v>2</v>
      </c>
      <c r="W145" t="str">
        <f t="shared" si="14"/>
        <v>High Risk</v>
      </c>
    </row>
    <row r="146" spans="1:23">
      <c r="A146" t="s">
        <v>276</v>
      </c>
      <c r="B146" t="s">
        <v>18</v>
      </c>
      <c r="C146" t="s">
        <v>29</v>
      </c>
      <c r="D146" t="s">
        <v>34</v>
      </c>
      <c r="E146" t="s">
        <v>41</v>
      </c>
      <c r="F146">
        <v>8</v>
      </c>
      <c r="G146">
        <v>138</v>
      </c>
      <c r="H146" t="s">
        <v>30</v>
      </c>
      <c r="I146" t="s">
        <v>23</v>
      </c>
      <c r="J146" s="1">
        <v>45277</v>
      </c>
      <c r="K146" t="s">
        <v>24</v>
      </c>
      <c r="L146" t="s">
        <v>277</v>
      </c>
      <c r="M146" t="s">
        <v>52</v>
      </c>
      <c r="N146">
        <v>3</v>
      </c>
      <c r="O146">
        <v>3</v>
      </c>
      <c r="P146">
        <v>30</v>
      </c>
      <c r="Q146" t="s">
        <v>27</v>
      </c>
      <c r="R146">
        <f>IF(tblSubscriptions[[#This Row],[churned]] = "Yes",1,0)</f>
        <v>1</v>
      </c>
      <c r="S146">
        <f t="shared" si="10"/>
        <v>1</v>
      </c>
      <c r="T146">
        <f t="shared" si="11"/>
        <v>1</v>
      </c>
      <c r="U146">
        <f t="shared" si="12"/>
        <v>0</v>
      </c>
      <c r="V146">
        <f t="shared" si="13"/>
        <v>2</v>
      </c>
      <c r="W146" t="str">
        <f t="shared" si="14"/>
        <v>High Risk</v>
      </c>
    </row>
    <row r="147" spans="1:23">
      <c r="A147" t="s">
        <v>278</v>
      </c>
      <c r="B147" t="s">
        <v>87</v>
      </c>
      <c r="C147" t="s">
        <v>19</v>
      </c>
      <c r="D147" t="s">
        <v>83</v>
      </c>
      <c r="E147" t="s">
        <v>41</v>
      </c>
      <c r="F147">
        <v>15</v>
      </c>
      <c r="G147">
        <v>1547</v>
      </c>
      <c r="H147" t="s">
        <v>22</v>
      </c>
      <c r="I147" t="s">
        <v>23</v>
      </c>
      <c r="J147" s="1">
        <v>44739</v>
      </c>
      <c r="K147" t="s">
        <v>27</v>
      </c>
      <c r="L147" t="s">
        <v>31</v>
      </c>
      <c r="M147" t="s">
        <v>31</v>
      </c>
      <c r="N147">
        <v>1</v>
      </c>
      <c r="O147">
        <v>5</v>
      </c>
      <c r="P147">
        <v>61</v>
      </c>
      <c r="Q147" t="s">
        <v>27</v>
      </c>
      <c r="R147">
        <f>IF(tblSubscriptions[[#This Row],[churned]] = "Yes",1,0)</f>
        <v>0</v>
      </c>
      <c r="S147">
        <f t="shared" si="10"/>
        <v>0</v>
      </c>
      <c r="T147">
        <f t="shared" si="11"/>
        <v>1</v>
      </c>
      <c r="U147">
        <f t="shared" si="12"/>
        <v>0</v>
      </c>
      <c r="V147">
        <f t="shared" si="13"/>
        <v>1</v>
      </c>
      <c r="W147" t="str">
        <f t="shared" si="14"/>
        <v>Medium Risk</v>
      </c>
    </row>
    <row r="148" spans="1:23">
      <c r="A148" t="s">
        <v>279</v>
      </c>
      <c r="B148" t="s">
        <v>33</v>
      </c>
      <c r="C148" t="s">
        <v>29</v>
      </c>
      <c r="D148" t="s">
        <v>44</v>
      </c>
      <c r="E148" t="s">
        <v>47</v>
      </c>
      <c r="F148">
        <v>6</v>
      </c>
      <c r="G148">
        <v>43</v>
      </c>
      <c r="H148" t="s">
        <v>70</v>
      </c>
      <c r="I148" t="s">
        <v>23</v>
      </c>
      <c r="J148" s="1">
        <v>45204</v>
      </c>
      <c r="K148" t="s">
        <v>24</v>
      </c>
      <c r="L148" t="s">
        <v>280</v>
      </c>
      <c r="M148" t="s">
        <v>26</v>
      </c>
      <c r="N148">
        <v>5</v>
      </c>
      <c r="O148">
        <v>3</v>
      </c>
      <c r="P148">
        <v>15</v>
      </c>
      <c r="Q148" t="s">
        <v>27</v>
      </c>
      <c r="R148">
        <f>IF(tblSubscriptions[[#This Row],[churned]] = "Yes",1,0)</f>
        <v>1</v>
      </c>
      <c r="S148">
        <f t="shared" si="10"/>
        <v>1</v>
      </c>
      <c r="T148">
        <f t="shared" si="11"/>
        <v>1</v>
      </c>
      <c r="U148">
        <f t="shared" si="12"/>
        <v>0</v>
      </c>
      <c r="V148">
        <f t="shared" si="13"/>
        <v>2</v>
      </c>
      <c r="W148" t="str">
        <f t="shared" si="14"/>
        <v>High Risk</v>
      </c>
    </row>
    <row r="149" spans="1:23">
      <c r="A149" t="s">
        <v>281</v>
      </c>
      <c r="B149" t="s">
        <v>87</v>
      </c>
      <c r="C149" t="s">
        <v>19</v>
      </c>
      <c r="D149" t="s">
        <v>56</v>
      </c>
      <c r="E149" t="s">
        <v>21</v>
      </c>
      <c r="F149">
        <v>73</v>
      </c>
      <c r="G149">
        <v>5888</v>
      </c>
      <c r="H149" t="s">
        <v>22</v>
      </c>
      <c r="I149" t="s">
        <v>42</v>
      </c>
      <c r="J149" s="1">
        <v>45714</v>
      </c>
      <c r="K149" t="s">
        <v>27</v>
      </c>
      <c r="L149" t="s">
        <v>31</v>
      </c>
      <c r="M149" t="s">
        <v>31</v>
      </c>
      <c r="N149">
        <v>5</v>
      </c>
      <c r="O149">
        <v>2</v>
      </c>
      <c r="P149">
        <v>54</v>
      </c>
      <c r="Q149" t="s">
        <v>27</v>
      </c>
      <c r="R149">
        <f>IF(tblSubscriptions[[#This Row],[churned]] = "Yes",1,0)</f>
        <v>0</v>
      </c>
      <c r="S149">
        <f t="shared" si="10"/>
        <v>0</v>
      </c>
      <c r="T149">
        <f t="shared" si="11"/>
        <v>1</v>
      </c>
      <c r="U149">
        <f t="shared" si="12"/>
        <v>0</v>
      </c>
      <c r="V149">
        <f t="shared" si="13"/>
        <v>1</v>
      </c>
      <c r="W149" t="str">
        <f t="shared" si="14"/>
        <v>Medium Risk</v>
      </c>
    </row>
    <row r="150" spans="1:23">
      <c r="A150" t="s">
        <v>282</v>
      </c>
      <c r="B150" t="s">
        <v>18</v>
      </c>
      <c r="C150" t="s">
        <v>19</v>
      </c>
      <c r="D150" t="s">
        <v>44</v>
      </c>
      <c r="E150" t="s">
        <v>47</v>
      </c>
      <c r="F150">
        <v>1</v>
      </c>
      <c r="G150">
        <v>79</v>
      </c>
      <c r="H150" t="s">
        <v>30</v>
      </c>
      <c r="I150" t="s">
        <v>23</v>
      </c>
      <c r="J150" s="1">
        <v>45866</v>
      </c>
      <c r="K150" t="s">
        <v>27</v>
      </c>
      <c r="L150" t="s">
        <v>31</v>
      </c>
      <c r="M150" t="s">
        <v>31</v>
      </c>
      <c r="N150">
        <v>11</v>
      </c>
      <c r="O150">
        <v>6</v>
      </c>
      <c r="P150">
        <v>74</v>
      </c>
      <c r="Q150" t="s">
        <v>27</v>
      </c>
      <c r="R150">
        <f>IF(tblSubscriptions[[#This Row],[churned]] = "Yes",1,0)</f>
        <v>0</v>
      </c>
      <c r="S150">
        <f t="shared" si="10"/>
        <v>0</v>
      </c>
      <c r="T150">
        <f t="shared" si="11"/>
        <v>1</v>
      </c>
      <c r="U150">
        <f t="shared" si="12"/>
        <v>1</v>
      </c>
      <c r="V150">
        <f t="shared" si="13"/>
        <v>2</v>
      </c>
      <c r="W150" t="str">
        <f t="shared" si="14"/>
        <v>High Risk</v>
      </c>
    </row>
    <row r="151" spans="1:23">
      <c r="A151" t="s">
        <v>283</v>
      </c>
      <c r="B151" t="s">
        <v>18</v>
      </c>
      <c r="C151" t="s">
        <v>19</v>
      </c>
      <c r="D151" t="s">
        <v>44</v>
      </c>
      <c r="E151" t="s">
        <v>41</v>
      </c>
      <c r="F151">
        <v>26</v>
      </c>
      <c r="G151">
        <v>375</v>
      </c>
      <c r="H151" t="s">
        <v>22</v>
      </c>
      <c r="I151" t="s">
        <v>84</v>
      </c>
      <c r="J151" s="1">
        <v>45109</v>
      </c>
      <c r="K151" t="s">
        <v>24</v>
      </c>
      <c r="L151" t="s">
        <v>284</v>
      </c>
      <c r="M151" t="s">
        <v>26</v>
      </c>
      <c r="N151">
        <v>13</v>
      </c>
      <c r="O151">
        <v>1</v>
      </c>
      <c r="P151">
        <v>29</v>
      </c>
      <c r="Q151" t="s">
        <v>27</v>
      </c>
      <c r="R151">
        <f>IF(tblSubscriptions[[#This Row],[churned]] = "Yes",1,0)</f>
        <v>1</v>
      </c>
      <c r="S151">
        <f t="shared" si="10"/>
        <v>1</v>
      </c>
      <c r="T151">
        <f t="shared" si="11"/>
        <v>1</v>
      </c>
      <c r="U151">
        <f t="shared" si="12"/>
        <v>1</v>
      </c>
      <c r="V151">
        <f t="shared" si="13"/>
        <v>3</v>
      </c>
      <c r="W151" t="str">
        <f t="shared" si="14"/>
        <v>High Risk</v>
      </c>
    </row>
    <row r="152" spans="1:23">
      <c r="A152" t="s">
        <v>285</v>
      </c>
      <c r="B152" t="s">
        <v>33</v>
      </c>
      <c r="C152" t="s">
        <v>19</v>
      </c>
      <c r="D152" t="s">
        <v>20</v>
      </c>
      <c r="E152" t="s">
        <v>47</v>
      </c>
      <c r="F152">
        <v>5</v>
      </c>
      <c r="G152">
        <v>46</v>
      </c>
      <c r="H152" t="s">
        <v>124</v>
      </c>
      <c r="I152" t="s">
        <v>23</v>
      </c>
      <c r="J152" s="1">
        <v>45438</v>
      </c>
      <c r="K152" t="s">
        <v>24</v>
      </c>
      <c r="L152" t="s">
        <v>286</v>
      </c>
      <c r="M152" t="s">
        <v>75</v>
      </c>
      <c r="N152">
        <v>7</v>
      </c>
      <c r="O152">
        <v>5</v>
      </c>
      <c r="P152">
        <v>15</v>
      </c>
      <c r="Q152" t="s">
        <v>27</v>
      </c>
      <c r="R152">
        <f>IF(tblSubscriptions[[#This Row],[churned]] = "Yes",1,0)</f>
        <v>1</v>
      </c>
      <c r="S152">
        <f t="shared" si="10"/>
        <v>1</v>
      </c>
      <c r="T152">
        <f t="shared" si="11"/>
        <v>1</v>
      </c>
      <c r="U152">
        <f t="shared" si="12"/>
        <v>0</v>
      </c>
      <c r="V152">
        <f t="shared" si="13"/>
        <v>2</v>
      </c>
      <c r="W152" t="str">
        <f t="shared" si="14"/>
        <v>High Risk</v>
      </c>
    </row>
    <row r="153" spans="1:23">
      <c r="A153" t="s">
        <v>287</v>
      </c>
      <c r="B153" t="s">
        <v>39</v>
      </c>
      <c r="C153" t="s">
        <v>29</v>
      </c>
      <c r="D153" t="s">
        <v>20</v>
      </c>
      <c r="E153" t="s">
        <v>35</v>
      </c>
      <c r="F153">
        <v>199</v>
      </c>
      <c r="G153">
        <v>5193</v>
      </c>
      <c r="H153" t="s">
        <v>36</v>
      </c>
      <c r="I153" t="s">
        <v>23</v>
      </c>
      <c r="J153" s="1">
        <v>45086</v>
      </c>
      <c r="K153" t="s">
        <v>24</v>
      </c>
      <c r="L153" t="s">
        <v>288</v>
      </c>
      <c r="M153" t="s">
        <v>52</v>
      </c>
      <c r="N153">
        <v>4</v>
      </c>
      <c r="O153">
        <v>5</v>
      </c>
      <c r="P153">
        <v>36</v>
      </c>
      <c r="Q153" t="s">
        <v>27</v>
      </c>
      <c r="R153">
        <f>IF(tblSubscriptions[[#This Row],[churned]] = "Yes",1,0)</f>
        <v>1</v>
      </c>
      <c r="S153">
        <f t="shared" si="10"/>
        <v>1</v>
      </c>
      <c r="T153">
        <f t="shared" si="11"/>
        <v>1</v>
      </c>
      <c r="U153">
        <f t="shared" si="12"/>
        <v>0</v>
      </c>
      <c r="V153">
        <f t="shared" si="13"/>
        <v>2</v>
      </c>
      <c r="W153" t="str">
        <f t="shared" si="14"/>
        <v>High Risk</v>
      </c>
    </row>
    <row r="154" spans="1:23">
      <c r="A154" t="s">
        <v>289</v>
      </c>
      <c r="B154" t="s">
        <v>33</v>
      </c>
      <c r="C154" t="s">
        <v>19</v>
      </c>
      <c r="D154" t="s">
        <v>20</v>
      </c>
      <c r="E154" t="s">
        <v>47</v>
      </c>
      <c r="F154">
        <v>6</v>
      </c>
      <c r="G154">
        <v>51</v>
      </c>
      <c r="H154" t="s">
        <v>36</v>
      </c>
      <c r="I154" t="s">
        <v>23</v>
      </c>
      <c r="J154" s="1">
        <v>45786</v>
      </c>
      <c r="K154" t="s">
        <v>24</v>
      </c>
      <c r="L154" t="s">
        <v>290</v>
      </c>
      <c r="M154" t="s">
        <v>62</v>
      </c>
      <c r="N154">
        <v>8</v>
      </c>
      <c r="O154">
        <v>4</v>
      </c>
      <c r="P154">
        <v>18</v>
      </c>
      <c r="Q154" t="s">
        <v>27</v>
      </c>
      <c r="R154">
        <f>IF(tblSubscriptions[[#This Row],[churned]] = "Yes",1,0)</f>
        <v>1</v>
      </c>
      <c r="S154">
        <f t="shared" si="10"/>
        <v>1</v>
      </c>
      <c r="T154">
        <f t="shared" si="11"/>
        <v>1</v>
      </c>
      <c r="U154">
        <f t="shared" si="12"/>
        <v>0</v>
      </c>
      <c r="V154">
        <f t="shared" si="13"/>
        <v>2</v>
      </c>
      <c r="W154" t="str">
        <f t="shared" si="14"/>
        <v>High Risk</v>
      </c>
    </row>
    <row r="155" spans="1:23">
      <c r="A155" t="s">
        <v>291</v>
      </c>
      <c r="B155" t="s">
        <v>18</v>
      </c>
      <c r="C155" t="s">
        <v>29</v>
      </c>
      <c r="D155" t="s">
        <v>83</v>
      </c>
      <c r="E155" t="s">
        <v>47</v>
      </c>
      <c r="F155">
        <v>1</v>
      </c>
      <c r="G155">
        <v>67</v>
      </c>
      <c r="H155" t="s">
        <v>36</v>
      </c>
      <c r="I155" t="s">
        <v>42</v>
      </c>
      <c r="J155" s="1">
        <v>45515</v>
      </c>
      <c r="K155" t="s">
        <v>24</v>
      </c>
      <c r="L155" t="s">
        <v>292</v>
      </c>
      <c r="M155" t="s">
        <v>52</v>
      </c>
      <c r="N155">
        <v>1</v>
      </c>
      <c r="O155">
        <v>5</v>
      </c>
      <c r="P155">
        <v>14</v>
      </c>
      <c r="Q155" t="s">
        <v>27</v>
      </c>
      <c r="R155">
        <f>IF(tblSubscriptions[[#This Row],[churned]] = "Yes",1,0)</f>
        <v>1</v>
      </c>
      <c r="S155">
        <f t="shared" si="10"/>
        <v>1</v>
      </c>
      <c r="T155">
        <f t="shared" si="11"/>
        <v>1</v>
      </c>
      <c r="U155">
        <f t="shared" si="12"/>
        <v>0</v>
      </c>
      <c r="V155">
        <f t="shared" si="13"/>
        <v>2</v>
      </c>
      <c r="W155" t="str">
        <f t="shared" si="14"/>
        <v>High Risk</v>
      </c>
    </row>
    <row r="156" spans="1:23">
      <c r="A156" t="s">
        <v>293</v>
      </c>
      <c r="B156" t="s">
        <v>33</v>
      </c>
      <c r="C156" t="s">
        <v>19</v>
      </c>
      <c r="D156" t="s">
        <v>97</v>
      </c>
      <c r="E156" t="s">
        <v>35</v>
      </c>
      <c r="F156">
        <v>230</v>
      </c>
      <c r="G156">
        <v>1025</v>
      </c>
      <c r="H156" t="s">
        <v>48</v>
      </c>
      <c r="I156" t="s">
        <v>64</v>
      </c>
      <c r="J156" s="1">
        <v>44848</v>
      </c>
      <c r="K156" t="s">
        <v>24</v>
      </c>
      <c r="L156" t="s">
        <v>294</v>
      </c>
      <c r="M156" t="s">
        <v>26</v>
      </c>
      <c r="N156">
        <v>6</v>
      </c>
      <c r="O156">
        <v>2</v>
      </c>
      <c r="P156">
        <v>35</v>
      </c>
      <c r="Q156" t="s">
        <v>27</v>
      </c>
      <c r="R156">
        <f>IF(tblSubscriptions[[#This Row],[churned]] = "Yes",1,0)</f>
        <v>1</v>
      </c>
      <c r="S156">
        <f t="shared" si="10"/>
        <v>1</v>
      </c>
      <c r="T156">
        <f t="shared" si="11"/>
        <v>1</v>
      </c>
      <c r="U156">
        <f t="shared" si="12"/>
        <v>0</v>
      </c>
      <c r="V156">
        <f t="shared" si="13"/>
        <v>2</v>
      </c>
      <c r="W156" t="str">
        <f t="shared" si="14"/>
        <v>High Risk</v>
      </c>
    </row>
    <row r="157" spans="1:23">
      <c r="A157" t="s">
        <v>295</v>
      </c>
      <c r="B157" t="s">
        <v>39</v>
      </c>
      <c r="C157" t="s">
        <v>19</v>
      </c>
      <c r="D157" t="s">
        <v>60</v>
      </c>
      <c r="E157" t="s">
        <v>41</v>
      </c>
      <c r="F157">
        <v>7</v>
      </c>
      <c r="G157">
        <v>378</v>
      </c>
      <c r="H157" t="s">
        <v>22</v>
      </c>
      <c r="I157" t="s">
        <v>23</v>
      </c>
      <c r="J157" s="1">
        <v>45555</v>
      </c>
      <c r="K157" t="s">
        <v>27</v>
      </c>
      <c r="L157" t="s">
        <v>31</v>
      </c>
      <c r="M157" t="s">
        <v>31</v>
      </c>
      <c r="N157">
        <v>4</v>
      </c>
      <c r="O157">
        <v>5</v>
      </c>
      <c r="P157">
        <v>83</v>
      </c>
      <c r="Q157" t="s">
        <v>27</v>
      </c>
      <c r="R157">
        <f>IF(tblSubscriptions[[#This Row],[churned]] = "Yes",1,0)</f>
        <v>0</v>
      </c>
      <c r="S157">
        <f t="shared" si="10"/>
        <v>0</v>
      </c>
      <c r="T157">
        <f t="shared" si="11"/>
        <v>1</v>
      </c>
      <c r="U157">
        <f t="shared" si="12"/>
        <v>0</v>
      </c>
      <c r="V157">
        <f t="shared" si="13"/>
        <v>1</v>
      </c>
      <c r="W157" t="str">
        <f t="shared" si="14"/>
        <v>Medium Risk</v>
      </c>
    </row>
    <row r="158" spans="1:23">
      <c r="A158" t="s">
        <v>296</v>
      </c>
      <c r="B158" t="s">
        <v>18</v>
      </c>
      <c r="C158" t="s">
        <v>29</v>
      </c>
      <c r="D158" t="s">
        <v>73</v>
      </c>
      <c r="E158" t="s">
        <v>47</v>
      </c>
      <c r="F158">
        <v>5</v>
      </c>
      <c r="G158">
        <v>107</v>
      </c>
      <c r="H158" t="s">
        <v>30</v>
      </c>
      <c r="I158" t="s">
        <v>42</v>
      </c>
      <c r="J158" s="1">
        <v>45144</v>
      </c>
      <c r="K158" t="s">
        <v>27</v>
      </c>
      <c r="L158" t="s">
        <v>31</v>
      </c>
      <c r="M158" t="s">
        <v>31</v>
      </c>
      <c r="N158">
        <v>9</v>
      </c>
      <c r="O158">
        <v>2</v>
      </c>
      <c r="P158">
        <v>80</v>
      </c>
      <c r="Q158" t="s">
        <v>27</v>
      </c>
      <c r="R158">
        <f>IF(tblSubscriptions[[#This Row],[churned]] = "Yes",1,0)</f>
        <v>0</v>
      </c>
      <c r="S158">
        <f t="shared" si="10"/>
        <v>0</v>
      </c>
      <c r="T158">
        <f t="shared" si="11"/>
        <v>1</v>
      </c>
      <c r="U158">
        <f t="shared" si="12"/>
        <v>0</v>
      </c>
      <c r="V158">
        <f t="shared" si="13"/>
        <v>1</v>
      </c>
      <c r="W158" t="str">
        <f t="shared" si="14"/>
        <v>Medium Risk</v>
      </c>
    </row>
    <row r="159" spans="1:23">
      <c r="A159" t="s">
        <v>297</v>
      </c>
      <c r="B159" t="s">
        <v>87</v>
      </c>
      <c r="C159" t="s">
        <v>19</v>
      </c>
      <c r="D159" t="s">
        <v>46</v>
      </c>
      <c r="E159" t="s">
        <v>41</v>
      </c>
      <c r="F159">
        <v>20</v>
      </c>
      <c r="G159">
        <v>1921</v>
      </c>
      <c r="H159" t="s">
        <v>22</v>
      </c>
      <c r="I159" t="s">
        <v>84</v>
      </c>
      <c r="J159" s="1">
        <v>45034</v>
      </c>
      <c r="K159" t="s">
        <v>27</v>
      </c>
      <c r="L159" t="s">
        <v>31</v>
      </c>
      <c r="M159" t="s">
        <v>31</v>
      </c>
      <c r="N159">
        <v>6</v>
      </c>
      <c r="O159">
        <v>2</v>
      </c>
      <c r="P159">
        <v>35</v>
      </c>
      <c r="Q159" t="s">
        <v>27</v>
      </c>
      <c r="R159">
        <f>IF(tblSubscriptions[[#This Row],[churned]] = "Yes",1,0)</f>
        <v>0</v>
      </c>
      <c r="S159">
        <f t="shared" si="10"/>
        <v>1</v>
      </c>
      <c r="T159">
        <f t="shared" si="11"/>
        <v>1</v>
      </c>
      <c r="U159">
        <f t="shared" si="12"/>
        <v>0</v>
      </c>
      <c r="V159">
        <f t="shared" si="13"/>
        <v>2</v>
      </c>
      <c r="W159" t="str">
        <f t="shared" si="14"/>
        <v>High Risk</v>
      </c>
    </row>
    <row r="160" spans="1:23">
      <c r="A160" t="s">
        <v>298</v>
      </c>
      <c r="B160" t="s">
        <v>33</v>
      </c>
      <c r="C160" t="s">
        <v>29</v>
      </c>
      <c r="D160" t="s">
        <v>44</v>
      </c>
      <c r="E160" t="s">
        <v>21</v>
      </c>
      <c r="F160">
        <v>66</v>
      </c>
      <c r="G160">
        <v>265</v>
      </c>
      <c r="H160" t="s">
        <v>48</v>
      </c>
      <c r="I160" t="s">
        <v>64</v>
      </c>
      <c r="J160" s="1">
        <v>45955</v>
      </c>
      <c r="K160" t="s">
        <v>27</v>
      </c>
      <c r="L160" t="s">
        <v>31</v>
      </c>
      <c r="M160" t="s">
        <v>31</v>
      </c>
      <c r="N160">
        <v>8</v>
      </c>
      <c r="O160">
        <v>8</v>
      </c>
      <c r="P160">
        <v>30</v>
      </c>
      <c r="Q160" t="s">
        <v>27</v>
      </c>
      <c r="R160">
        <f>IF(tblSubscriptions[[#This Row],[churned]] = "Yes",1,0)</f>
        <v>0</v>
      </c>
      <c r="S160">
        <f t="shared" si="10"/>
        <v>1</v>
      </c>
      <c r="T160">
        <f t="shared" si="11"/>
        <v>0</v>
      </c>
      <c r="U160">
        <f t="shared" si="12"/>
        <v>0</v>
      </c>
      <c r="V160">
        <f t="shared" si="13"/>
        <v>1</v>
      </c>
      <c r="W160" t="str">
        <f t="shared" si="14"/>
        <v>Medium Risk</v>
      </c>
    </row>
    <row r="161" spans="1:23">
      <c r="A161" t="s">
        <v>299</v>
      </c>
      <c r="B161" t="s">
        <v>18</v>
      </c>
      <c r="C161" t="s">
        <v>29</v>
      </c>
      <c r="D161" t="s">
        <v>83</v>
      </c>
      <c r="E161" t="s">
        <v>21</v>
      </c>
      <c r="F161">
        <v>71</v>
      </c>
      <c r="G161">
        <v>772</v>
      </c>
      <c r="H161" t="s">
        <v>22</v>
      </c>
      <c r="I161" t="s">
        <v>64</v>
      </c>
      <c r="J161" s="1">
        <v>45664</v>
      </c>
      <c r="K161" t="s">
        <v>27</v>
      </c>
      <c r="L161" t="s">
        <v>31</v>
      </c>
      <c r="M161" t="s">
        <v>31</v>
      </c>
      <c r="N161">
        <v>9</v>
      </c>
      <c r="O161">
        <v>5</v>
      </c>
      <c r="P161">
        <v>93</v>
      </c>
      <c r="Q161" t="s">
        <v>27</v>
      </c>
      <c r="R161">
        <f>IF(tblSubscriptions[[#This Row],[churned]] = "Yes",1,0)</f>
        <v>0</v>
      </c>
      <c r="S161">
        <f t="shared" si="10"/>
        <v>0</v>
      </c>
      <c r="T161">
        <f t="shared" si="11"/>
        <v>1</v>
      </c>
      <c r="U161">
        <f t="shared" si="12"/>
        <v>0</v>
      </c>
      <c r="V161">
        <f t="shared" si="13"/>
        <v>1</v>
      </c>
      <c r="W161" t="str">
        <f t="shared" si="14"/>
        <v>Medium Risk</v>
      </c>
    </row>
    <row r="162" spans="1:23">
      <c r="A162" t="s">
        <v>300</v>
      </c>
      <c r="B162" t="s">
        <v>39</v>
      </c>
      <c r="C162" t="s">
        <v>29</v>
      </c>
      <c r="D162" t="s">
        <v>73</v>
      </c>
      <c r="E162" t="s">
        <v>47</v>
      </c>
      <c r="F162">
        <v>4</v>
      </c>
      <c r="G162">
        <v>245</v>
      </c>
      <c r="H162" t="s">
        <v>36</v>
      </c>
      <c r="I162" t="s">
        <v>42</v>
      </c>
      <c r="J162" s="1">
        <v>45637</v>
      </c>
      <c r="K162" t="s">
        <v>24</v>
      </c>
      <c r="L162" t="s">
        <v>301</v>
      </c>
      <c r="M162" t="s">
        <v>26</v>
      </c>
      <c r="N162">
        <v>0</v>
      </c>
      <c r="O162">
        <v>6</v>
      </c>
      <c r="P162">
        <v>28</v>
      </c>
      <c r="Q162" t="s">
        <v>27</v>
      </c>
      <c r="R162">
        <f>IF(tblSubscriptions[[#This Row],[churned]] = "Yes",1,0)</f>
        <v>1</v>
      </c>
      <c r="S162">
        <f t="shared" si="10"/>
        <v>1</v>
      </c>
      <c r="T162">
        <f t="shared" si="11"/>
        <v>1</v>
      </c>
      <c r="U162">
        <f t="shared" si="12"/>
        <v>0</v>
      </c>
      <c r="V162">
        <f t="shared" si="13"/>
        <v>2</v>
      </c>
      <c r="W162" t="str">
        <f t="shared" si="14"/>
        <v>High Risk</v>
      </c>
    </row>
    <row r="163" spans="1:23">
      <c r="A163" t="s">
        <v>302</v>
      </c>
      <c r="B163" t="s">
        <v>33</v>
      </c>
      <c r="C163" t="s">
        <v>19</v>
      </c>
      <c r="D163" t="s">
        <v>34</v>
      </c>
      <c r="E163" t="s">
        <v>35</v>
      </c>
      <c r="F163">
        <v>150</v>
      </c>
      <c r="G163">
        <v>677</v>
      </c>
      <c r="H163" t="s">
        <v>70</v>
      </c>
      <c r="I163" t="s">
        <v>42</v>
      </c>
      <c r="J163" s="1">
        <v>44782</v>
      </c>
      <c r="K163" t="s">
        <v>24</v>
      </c>
      <c r="L163" t="s">
        <v>303</v>
      </c>
      <c r="M163" t="s">
        <v>62</v>
      </c>
      <c r="N163">
        <v>0</v>
      </c>
      <c r="O163">
        <v>3</v>
      </c>
      <c r="P163">
        <v>44</v>
      </c>
      <c r="Q163" t="s">
        <v>27</v>
      </c>
      <c r="R163">
        <f>IF(tblSubscriptions[[#This Row],[churned]] = "Yes",1,0)</f>
        <v>1</v>
      </c>
      <c r="S163">
        <f t="shared" si="10"/>
        <v>1</v>
      </c>
      <c r="T163">
        <f t="shared" si="11"/>
        <v>1</v>
      </c>
      <c r="U163">
        <f t="shared" si="12"/>
        <v>0</v>
      </c>
      <c r="V163">
        <f t="shared" si="13"/>
        <v>2</v>
      </c>
      <c r="W163" t="str">
        <f t="shared" si="14"/>
        <v>High Risk</v>
      </c>
    </row>
    <row r="164" spans="1:23">
      <c r="A164" t="s">
        <v>304</v>
      </c>
      <c r="B164" t="s">
        <v>33</v>
      </c>
      <c r="C164" t="s">
        <v>29</v>
      </c>
      <c r="D164" t="s">
        <v>44</v>
      </c>
      <c r="E164" t="s">
        <v>47</v>
      </c>
      <c r="F164">
        <v>2</v>
      </c>
      <c r="G164">
        <v>28</v>
      </c>
      <c r="H164" t="s">
        <v>70</v>
      </c>
      <c r="I164" t="s">
        <v>64</v>
      </c>
      <c r="J164" s="1">
        <v>45685</v>
      </c>
      <c r="K164" t="s">
        <v>27</v>
      </c>
      <c r="L164" t="s">
        <v>31</v>
      </c>
      <c r="M164" t="s">
        <v>31</v>
      </c>
      <c r="N164">
        <v>3</v>
      </c>
      <c r="O164">
        <v>8</v>
      </c>
      <c r="P164">
        <v>20</v>
      </c>
      <c r="Q164" t="s">
        <v>27</v>
      </c>
      <c r="R164">
        <f>IF(tblSubscriptions[[#This Row],[churned]] = "Yes",1,0)</f>
        <v>0</v>
      </c>
      <c r="S164">
        <f t="shared" si="10"/>
        <v>1</v>
      </c>
      <c r="T164">
        <f t="shared" si="11"/>
        <v>0</v>
      </c>
      <c r="U164">
        <f t="shared" si="12"/>
        <v>0</v>
      </c>
      <c r="V164">
        <f t="shared" si="13"/>
        <v>1</v>
      </c>
      <c r="W164" t="str">
        <f t="shared" si="14"/>
        <v>Medium Risk</v>
      </c>
    </row>
    <row r="165" spans="1:23">
      <c r="A165" t="s">
        <v>305</v>
      </c>
      <c r="B165" t="s">
        <v>33</v>
      </c>
      <c r="C165" t="s">
        <v>29</v>
      </c>
      <c r="D165" t="s">
        <v>60</v>
      </c>
      <c r="E165" t="s">
        <v>35</v>
      </c>
      <c r="F165">
        <v>220</v>
      </c>
      <c r="G165">
        <v>834</v>
      </c>
      <c r="H165" t="s">
        <v>22</v>
      </c>
      <c r="I165" t="s">
        <v>42</v>
      </c>
      <c r="J165" s="1">
        <v>45157</v>
      </c>
      <c r="K165" t="s">
        <v>24</v>
      </c>
      <c r="L165" t="s">
        <v>306</v>
      </c>
      <c r="M165" t="s">
        <v>58</v>
      </c>
      <c r="N165">
        <v>4</v>
      </c>
      <c r="O165">
        <v>3</v>
      </c>
      <c r="P165">
        <v>12</v>
      </c>
      <c r="Q165" t="s">
        <v>27</v>
      </c>
      <c r="R165">
        <f>IF(tblSubscriptions[[#This Row],[churned]] = "Yes",1,0)</f>
        <v>1</v>
      </c>
      <c r="S165">
        <f t="shared" si="10"/>
        <v>1</v>
      </c>
      <c r="T165">
        <f t="shared" si="11"/>
        <v>1</v>
      </c>
      <c r="U165">
        <f t="shared" si="12"/>
        <v>0</v>
      </c>
      <c r="V165">
        <f t="shared" si="13"/>
        <v>2</v>
      </c>
      <c r="W165" t="str">
        <f t="shared" si="14"/>
        <v>High Risk</v>
      </c>
    </row>
    <row r="166" spans="1:23">
      <c r="A166" t="s">
        <v>307</v>
      </c>
      <c r="B166" t="s">
        <v>33</v>
      </c>
      <c r="C166" t="s">
        <v>29</v>
      </c>
      <c r="D166" t="s">
        <v>40</v>
      </c>
      <c r="E166" t="s">
        <v>50</v>
      </c>
      <c r="F166">
        <v>34</v>
      </c>
      <c r="G166">
        <v>147</v>
      </c>
      <c r="H166" t="s">
        <v>22</v>
      </c>
      <c r="I166" t="s">
        <v>64</v>
      </c>
      <c r="J166" s="1">
        <v>45488</v>
      </c>
      <c r="K166" t="s">
        <v>27</v>
      </c>
      <c r="L166" t="s">
        <v>31</v>
      </c>
      <c r="M166" t="s">
        <v>31</v>
      </c>
      <c r="N166">
        <v>12</v>
      </c>
      <c r="O166">
        <v>5</v>
      </c>
      <c r="P166">
        <v>60</v>
      </c>
      <c r="Q166" t="s">
        <v>27</v>
      </c>
      <c r="R166">
        <f>IF(tblSubscriptions[[#This Row],[churned]] = "Yes",1,0)</f>
        <v>0</v>
      </c>
      <c r="S166">
        <f t="shared" si="10"/>
        <v>0</v>
      </c>
      <c r="T166">
        <f t="shared" si="11"/>
        <v>1</v>
      </c>
      <c r="U166">
        <f t="shared" si="12"/>
        <v>1</v>
      </c>
      <c r="V166">
        <f t="shared" si="13"/>
        <v>2</v>
      </c>
      <c r="W166" t="str">
        <f t="shared" si="14"/>
        <v>High Risk</v>
      </c>
    </row>
    <row r="167" spans="1:23">
      <c r="A167" t="s">
        <v>308</v>
      </c>
      <c r="B167" t="s">
        <v>33</v>
      </c>
      <c r="C167" t="s">
        <v>19</v>
      </c>
      <c r="D167" t="s">
        <v>60</v>
      </c>
      <c r="E167" t="s">
        <v>47</v>
      </c>
      <c r="F167">
        <v>1</v>
      </c>
      <c r="G167">
        <v>29</v>
      </c>
      <c r="H167" t="s">
        <v>124</v>
      </c>
      <c r="I167" t="s">
        <v>42</v>
      </c>
      <c r="J167" s="1">
        <v>45187</v>
      </c>
      <c r="K167" t="s">
        <v>24</v>
      </c>
      <c r="L167" t="s">
        <v>309</v>
      </c>
      <c r="M167" t="s">
        <v>75</v>
      </c>
      <c r="N167">
        <v>7</v>
      </c>
      <c r="O167">
        <v>5</v>
      </c>
      <c r="P167">
        <v>20</v>
      </c>
      <c r="Q167" t="s">
        <v>27</v>
      </c>
      <c r="R167">
        <f>IF(tblSubscriptions[[#This Row],[churned]] = "Yes",1,0)</f>
        <v>1</v>
      </c>
      <c r="S167">
        <f t="shared" si="10"/>
        <v>1</v>
      </c>
      <c r="T167">
        <f t="shared" si="11"/>
        <v>1</v>
      </c>
      <c r="U167">
        <f t="shared" si="12"/>
        <v>0</v>
      </c>
      <c r="V167">
        <f t="shared" si="13"/>
        <v>2</v>
      </c>
      <c r="W167" t="str">
        <f t="shared" si="14"/>
        <v>High Risk</v>
      </c>
    </row>
    <row r="168" spans="1:23">
      <c r="A168" t="s">
        <v>310</v>
      </c>
      <c r="B168" t="s">
        <v>33</v>
      </c>
      <c r="C168" t="s">
        <v>29</v>
      </c>
      <c r="D168" t="s">
        <v>83</v>
      </c>
      <c r="E168" t="s">
        <v>21</v>
      </c>
      <c r="F168">
        <v>40</v>
      </c>
      <c r="G168">
        <v>169</v>
      </c>
      <c r="H168" t="s">
        <v>22</v>
      </c>
      <c r="I168" t="s">
        <v>23</v>
      </c>
      <c r="J168" s="1">
        <v>45650</v>
      </c>
      <c r="K168" t="s">
        <v>27</v>
      </c>
      <c r="L168" t="s">
        <v>31</v>
      </c>
      <c r="M168" t="s">
        <v>31</v>
      </c>
      <c r="N168">
        <v>10</v>
      </c>
      <c r="O168">
        <v>6</v>
      </c>
      <c r="P168">
        <v>35</v>
      </c>
      <c r="Q168" t="s">
        <v>27</v>
      </c>
      <c r="R168">
        <f>IF(tblSubscriptions[[#This Row],[churned]] = "Yes",1,0)</f>
        <v>0</v>
      </c>
      <c r="S168">
        <f t="shared" si="10"/>
        <v>1</v>
      </c>
      <c r="T168">
        <f t="shared" si="11"/>
        <v>1</v>
      </c>
      <c r="U168">
        <f t="shared" si="12"/>
        <v>0</v>
      </c>
      <c r="V168">
        <f t="shared" si="13"/>
        <v>2</v>
      </c>
      <c r="W168" t="str">
        <f t="shared" si="14"/>
        <v>High Risk</v>
      </c>
    </row>
    <row r="169" spans="1:23">
      <c r="A169" t="s">
        <v>311</v>
      </c>
      <c r="B169" t="s">
        <v>39</v>
      </c>
      <c r="C169" t="s">
        <v>19</v>
      </c>
      <c r="D169" t="s">
        <v>83</v>
      </c>
      <c r="E169" t="s">
        <v>41</v>
      </c>
      <c r="F169">
        <v>29</v>
      </c>
      <c r="G169">
        <v>1035</v>
      </c>
      <c r="H169" t="s">
        <v>36</v>
      </c>
      <c r="I169" t="s">
        <v>42</v>
      </c>
      <c r="J169" s="1">
        <v>45021</v>
      </c>
      <c r="K169" t="s">
        <v>24</v>
      </c>
      <c r="L169" t="s">
        <v>312</v>
      </c>
      <c r="M169" t="s">
        <v>75</v>
      </c>
      <c r="N169">
        <v>12</v>
      </c>
      <c r="O169">
        <v>6</v>
      </c>
      <c r="P169">
        <v>45</v>
      </c>
      <c r="Q169" t="s">
        <v>27</v>
      </c>
      <c r="R169">
        <f>IF(tblSubscriptions[[#This Row],[churned]] = "Yes",1,0)</f>
        <v>1</v>
      </c>
      <c r="S169">
        <f t="shared" si="10"/>
        <v>1</v>
      </c>
      <c r="T169">
        <f t="shared" si="11"/>
        <v>1</v>
      </c>
      <c r="U169">
        <f t="shared" si="12"/>
        <v>1</v>
      </c>
      <c r="V169">
        <f t="shared" si="13"/>
        <v>3</v>
      </c>
      <c r="W169" t="str">
        <f t="shared" si="14"/>
        <v>High Risk</v>
      </c>
    </row>
    <row r="170" spans="1:23">
      <c r="A170" t="s">
        <v>313</v>
      </c>
      <c r="B170" t="s">
        <v>39</v>
      </c>
      <c r="C170" t="s">
        <v>29</v>
      </c>
      <c r="D170" t="s">
        <v>97</v>
      </c>
      <c r="E170" t="s">
        <v>41</v>
      </c>
      <c r="F170">
        <v>5</v>
      </c>
      <c r="G170">
        <v>271</v>
      </c>
      <c r="H170" t="s">
        <v>70</v>
      </c>
      <c r="I170" t="s">
        <v>23</v>
      </c>
      <c r="J170" s="1">
        <v>45266</v>
      </c>
      <c r="K170" t="s">
        <v>27</v>
      </c>
      <c r="L170" t="s">
        <v>31</v>
      </c>
      <c r="M170" t="s">
        <v>31</v>
      </c>
      <c r="N170">
        <v>0</v>
      </c>
      <c r="O170">
        <v>1</v>
      </c>
      <c r="P170">
        <v>55</v>
      </c>
      <c r="Q170" t="s">
        <v>24</v>
      </c>
      <c r="R170">
        <f>IF(tblSubscriptions[[#This Row],[churned]] = "Yes",1,0)</f>
        <v>0</v>
      </c>
      <c r="S170">
        <f t="shared" si="10"/>
        <v>0</v>
      </c>
      <c r="T170">
        <f t="shared" si="11"/>
        <v>1</v>
      </c>
      <c r="U170">
        <f t="shared" si="12"/>
        <v>0</v>
      </c>
      <c r="V170">
        <f t="shared" si="13"/>
        <v>1</v>
      </c>
      <c r="W170" t="str">
        <f t="shared" si="14"/>
        <v>Medium Risk</v>
      </c>
    </row>
    <row r="171" spans="1:23">
      <c r="A171" t="s">
        <v>314</v>
      </c>
      <c r="B171" t="s">
        <v>39</v>
      </c>
      <c r="C171" t="s">
        <v>19</v>
      </c>
      <c r="D171" t="s">
        <v>56</v>
      </c>
      <c r="E171" t="s">
        <v>41</v>
      </c>
      <c r="F171">
        <v>32</v>
      </c>
      <c r="G171">
        <v>1124</v>
      </c>
      <c r="H171" t="s">
        <v>124</v>
      </c>
      <c r="I171" t="s">
        <v>64</v>
      </c>
      <c r="J171" s="1">
        <v>45582</v>
      </c>
      <c r="K171" t="s">
        <v>27</v>
      </c>
      <c r="L171" t="s">
        <v>31</v>
      </c>
      <c r="M171" t="s">
        <v>31</v>
      </c>
      <c r="N171">
        <v>1</v>
      </c>
      <c r="O171">
        <v>1</v>
      </c>
      <c r="P171">
        <v>91</v>
      </c>
      <c r="Q171" t="s">
        <v>27</v>
      </c>
      <c r="R171">
        <f>IF(tblSubscriptions[[#This Row],[churned]] = "Yes",1,0)</f>
        <v>0</v>
      </c>
      <c r="S171">
        <f t="shared" si="10"/>
        <v>0</v>
      </c>
      <c r="T171">
        <f t="shared" si="11"/>
        <v>1</v>
      </c>
      <c r="U171">
        <f t="shared" si="12"/>
        <v>0</v>
      </c>
      <c r="V171">
        <f t="shared" si="13"/>
        <v>1</v>
      </c>
      <c r="W171" t="str">
        <f t="shared" si="14"/>
        <v>Medium Risk</v>
      </c>
    </row>
    <row r="172" spans="1:23">
      <c r="A172" t="s">
        <v>315</v>
      </c>
      <c r="B172" t="s">
        <v>33</v>
      </c>
      <c r="C172" t="s">
        <v>19</v>
      </c>
      <c r="D172" t="s">
        <v>34</v>
      </c>
      <c r="E172" t="s">
        <v>47</v>
      </c>
      <c r="F172">
        <v>7</v>
      </c>
      <c r="G172">
        <v>55</v>
      </c>
      <c r="H172" t="s">
        <v>22</v>
      </c>
      <c r="I172" t="s">
        <v>42</v>
      </c>
      <c r="J172" s="1">
        <v>44822</v>
      </c>
      <c r="K172" t="s">
        <v>24</v>
      </c>
      <c r="L172" t="s">
        <v>316</v>
      </c>
      <c r="M172" t="s">
        <v>62</v>
      </c>
      <c r="N172">
        <v>3</v>
      </c>
      <c r="O172">
        <v>2</v>
      </c>
      <c r="P172">
        <v>24</v>
      </c>
      <c r="Q172" t="s">
        <v>27</v>
      </c>
      <c r="R172">
        <f>IF(tblSubscriptions[[#This Row],[churned]] = "Yes",1,0)</f>
        <v>1</v>
      </c>
      <c r="S172">
        <f t="shared" si="10"/>
        <v>1</v>
      </c>
      <c r="T172">
        <f t="shared" si="11"/>
        <v>1</v>
      </c>
      <c r="U172">
        <f t="shared" si="12"/>
        <v>0</v>
      </c>
      <c r="V172">
        <f t="shared" si="13"/>
        <v>2</v>
      </c>
      <c r="W172" t="str">
        <f t="shared" si="14"/>
        <v>High Risk</v>
      </c>
    </row>
    <row r="173" spans="1:23">
      <c r="A173" t="s">
        <v>317</v>
      </c>
      <c r="B173" t="s">
        <v>39</v>
      </c>
      <c r="C173" t="s">
        <v>19</v>
      </c>
      <c r="D173" t="s">
        <v>60</v>
      </c>
      <c r="E173" t="s">
        <v>47</v>
      </c>
      <c r="F173">
        <v>5</v>
      </c>
      <c r="G173">
        <v>318</v>
      </c>
      <c r="H173" t="s">
        <v>48</v>
      </c>
      <c r="I173" t="s">
        <v>23</v>
      </c>
      <c r="J173" s="1">
        <v>44752</v>
      </c>
      <c r="K173" t="s">
        <v>24</v>
      </c>
      <c r="L173" t="s">
        <v>318</v>
      </c>
      <c r="M173" t="s">
        <v>75</v>
      </c>
      <c r="N173">
        <v>14</v>
      </c>
      <c r="O173">
        <v>3</v>
      </c>
      <c r="P173">
        <v>38</v>
      </c>
      <c r="Q173" t="s">
        <v>27</v>
      </c>
      <c r="R173">
        <f>IF(tblSubscriptions[[#This Row],[churned]] = "Yes",1,0)</f>
        <v>1</v>
      </c>
      <c r="S173">
        <f t="shared" si="10"/>
        <v>1</v>
      </c>
      <c r="T173">
        <f t="shared" si="11"/>
        <v>1</v>
      </c>
      <c r="U173">
        <f t="shared" si="12"/>
        <v>1</v>
      </c>
      <c r="V173">
        <f t="shared" si="13"/>
        <v>3</v>
      </c>
      <c r="W173" t="str">
        <f t="shared" si="14"/>
        <v>High Risk</v>
      </c>
    </row>
    <row r="174" spans="1:23">
      <c r="A174" t="s">
        <v>319</v>
      </c>
      <c r="B174" t="s">
        <v>18</v>
      </c>
      <c r="C174" t="s">
        <v>29</v>
      </c>
      <c r="D174" t="s">
        <v>56</v>
      </c>
      <c r="E174" t="s">
        <v>47</v>
      </c>
      <c r="F174">
        <v>6</v>
      </c>
      <c r="G174">
        <v>118</v>
      </c>
      <c r="H174" t="s">
        <v>124</v>
      </c>
      <c r="I174" t="s">
        <v>64</v>
      </c>
      <c r="J174" s="1">
        <v>45549</v>
      </c>
      <c r="K174" t="s">
        <v>27</v>
      </c>
      <c r="L174" t="s">
        <v>31</v>
      </c>
      <c r="M174" t="s">
        <v>31</v>
      </c>
      <c r="N174">
        <v>12</v>
      </c>
      <c r="O174">
        <v>9</v>
      </c>
      <c r="P174">
        <v>38</v>
      </c>
      <c r="Q174" t="s">
        <v>27</v>
      </c>
      <c r="R174">
        <f>IF(tblSubscriptions[[#This Row],[churned]] = "Yes",1,0)</f>
        <v>0</v>
      </c>
      <c r="S174">
        <f t="shared" si="10"/>
        <v>1</v>
      </c>
      <c r="T174">
        <f t="shared" si="11"/>
        <v>0</v>
      </c>
      <c r="U174">
        <f t="shared" si="12"/>
        <v>1</v>
      </c>
      <c r="V174">
        <f t="shared" si="13"/>
        <v>2</v>
      </c>
      <c r="W174" t="str">
        <f t="shared" si="14"/>
        <v>High Risk</v>
      </c>
    </row>
    <row r="175" spans="1:23">
      <c r="A175" t="s">
        <v>320</v>
      </c>
      <c r="B175" t="s">
        <v>87</v>
      </c>
      <c r="C175" t="s">
        <v>29</v>
      </c>
      <c r="D175" t="s">
        <v>73</v>
      </c>
      <c r="E175" t="s">
        <v>50</v>
      </c>
      <c r="F175">
        <v>65</v>
      </c>
      <c r="G175">
        <v>4496</v>
      </c>
      <c r="H175" t="s">
        <v>70</v>
      </c>
      <c r="I175" t="s">
        <v>23</v>
      </c>
      <c r="J175" s="1">
        <v>45626</v>
      </c>
      <c r="K175" t="s">
        <v>27</v>
      </c>
      <c r="L175" t="s">
        <v>31</v>
      </c>
      <c r="M175" t="s">
        <v>31</v>
      </c>
      <c r="N175">
        <v>10</v>
      </c>
      <c r="O175">
        <v>2</v>
      </c>
      <c r="P175">
        <v>91</v>
      </c>
      <c r="Q175" t="s">
        <v>27</v>
      </c>
      <c r="R175">
        <f>IF(tblSubscriptions[[#This Row],[churned]] = "Yes",1,0)</f>
        <v>0</v>
      </c>
      <c r="S175">
        <f t="shared" si="10"/>
        <v>0</v>
      </c>
      <c r="T175">
        <f t="shared" si="11"/>
        <v>1</v>
      </c>
      <c r="U175">
        <f t="shared" si="12"/>
        <v>0</v>
      </c>
      <c r="V175">
        <f t="shared" si="13"/>
        <v>1</v>
      </c>
      <c r="W175" t="str">
        <f t="shared" si="14"/>
        <v>Medium Risk</v>
      </c>
    </row>
    <row r="176" spans="1:23">
      <c r="A176" t="s">
        <v>321</v>
      </c>
      <c r="B176" t="s">
        <v>39</v>
      </c>
      <c r="C176" t="s">
        <v>29</v>
      </c>
      <c r="D176" t="s">
        <v>97</v>
      </c>
      <c r="E176" t="s">
        <v>21</v>
      </c>
      <c r="F176">
        <v>50</v>
      </c>
      <c r="G176">
        <v>1412</v>
      </c>
      <c r="H176" t="s">
        <v>30</v>
      </c>
      <c r="I176" t="s">
        <v>23</v>
      </c>
      <c r="J176" s="1">
        <v>44845</v>
      </c>
      <c r="K176" t="s">
        <v>27</v>
      </c>
      <c r="L176" t="s">
        <v>31</v>
      </c>
      <c r="M176" t="s">
        <v>31</v>
      </c>
      <c r="N176">
        <v>12</v>
      </c>
      <c r="O176">
        <v>8</v>
      </c>
      <c r="P176">
        <v>26</v>
      </c>
      <c r="Q176" t="s">
        <v>27</v>
      </c>
      <c r="R176">
        <f>IF(tblSubscriptions[[#This Row],[churned]] = "Yes",1,0)</f>
        <v>0</v>
      </c>
      <c r="S176">
        <f t="shared" si="10"/>
        <v>1</v>
      </c>
      <c r="T176">
        <f t="shared" si="11"/>
        <v>0</v>
      </c>
      <c r="U176">
        <f t="shared" si="12"/>
        <v>1</v>
      </c>
      <c r="V176">
        <f t="shared" si="13"/>
        <v>2</v>
      </c>
      <c r="W176" t="str">
        <f t="shared" si="14"/>
        <v>High Risk</v>
      </c>
    </row>
    <row r="177" spans="1:23">
      <c r="A177" t="s">
        <v>322</v>
      </c>
      <c r="B177" t="s">
        <v>33</v>
      </c>
      <c r="C177" t="s">
        <v>19</v>
      </c>
      <c r="D177" t="s">
        <v>56</v>
      </c>
      <c r="E177" t="s">
        <v>35</v>
      </c>
      <c r="F177">
        <v>205</v>
      </c>
      <c r="G177">
        <v>916</v>
      </c>
      <c r="H177" t="s">
        <v>124</v>
      </c>
      <c r="I177" t="s">
        <v>23</v>
      </c>
      <c r="J177" s="1">
        <v>45144</v>
      </c>
      <c r="K177" t="s">
        <v>24</v>
      </c>
      <c r="L177" t="s">
        <v>323</v>
      </c>
      <c r="M177" t="s">
        <v>62</v>
      </c>
      <c r="N177">
        <v>7</v>
      </c>
      <c r="O177">
        <v>3</v>
      </c>
      <c r="P177">
        <v>19</v>
      </c>
      <c r="Q177" t="s">
        <v>27</v>
      </c>
      <c r="R177">
        <f>IF(tblSubscriptions[[#This Row],[churned]] = "Yes",1,0)</f>
        <v>1</v>
      </c>
      <c r="S177">
        <f t="shared" si="10"/>
        <v>1</v>
      </c>
      <c r="T177">
        <f t="shared" si="11"/>
        <v>1</v>
      </c>
      <c r="U177">
        <f t="shared" si="12"/>
        <v>0</v>
      </c>
      <c r="V177">
        <f t="shared" si="13"/>
        <v>2</v>
      </c>
      <c r="W177" t="str">
        <f t="shared" si="14"/>
        <v>High Risk</v>
      </c>
    </row>
    <row r="178" spans="1:23">
      <c r="A178" t="s">
        <v>324</v>
      </c>
      <c r="B178" t="s">
        <v>18</v>
      </c>
      <c r="C178" t="s">
        <v>19</v>
      </c>
      <c r="D178" t="s">
        <v>46</v>
      </c>
      <c r="E178" t="s">
        <v>35</v>
      </c>
      <c r="F178">
        <v>239</v>
      </c>
      <c r="G178">
        <v>2899</v>
      </c>
      <c r="H178" t="s">
        <v>36</v>
      </c>
      <c r="I178" t="s">
        <v>64</v>
      </c>
      <c r="J178" s="1">
        <v>45632</v>
      </c>
      <c r="K178" t="s">
        <v>24</v>
      </c>
      <c r="L178" t="s">
        <v>325</v>
      </c>
      <c r="M178" t="s">
        <v>52</v>
      </c>
      <c r="N178">
        <v>4</v>
      </c>
      <c r="O178">
        <v>6</v>
      </c>
      <c r="P178">
        <v>14</v>
      </c>
      <c r="Q178" t="s">
        <v>27</v>
      </c>
      <c r="R178">
        <f>IF(tblSubscriptions[[#This Row],[churned]] = "Yes",1,0)</f>
        <v>1</v>
      </c>
      <c r="S178">
        <f t="shared" si="10"/>
        <v>1</v>
      </c>
      <c r="T178">
        <f t="shared" si="11"/>
        <v>1</v>
      </c>
      <c r="U178">
        <f t="shared" si="12"/>
        <v>0</v>
      </c>
      <c r="V178">
        <f t="shared" si="13"/>
        <v>2</v>
      </c>
      <c r="W178" t="str">
        <f t="shared" si="14"/>
        <v>High Risk</v>
      </c>
    </row>
    <row r="179" spans="1:23">
      <c r="A179" t="s">
        <v>326</v>
      </c>
      <c r="B179" t="s">
        <v>18</v>
      </c>
      <c r="C179" t="s">
        <v>29</v>
      </c>
      <c r="D179" t="s">
        <v>44</v>
      </c>
      <c r="E179" t="s">
        <v>41</v>
      </c>
      <c r="F179">
        <v>31</v>
      </c>
      <c r="G179">
        <v>369</v>
      </c>
      <c r="H179" t="s">
        <v>30</v>
      </c>
      <c r="I179" t="s">
        <v>64</v>
      </c>
      <c r="J179" s="1">
        <v>45546</v>
      </c>
      <c r="K179" t="s">
        <v>27</v>
      </c>
      <c r="L179" t="s">
        <v>31</v>
      </c>
      <c r="M179" t="s">
        <v>31</v>
      </c>
      <c r="N179">
        <v>4</v>
      </c>
      <c r="O179">
        <v>6</v>
      </c>
      <c r="P179">
        <v>81</v>
      </c>
      <c r="Q179" t="s">
        <v>27</v>
      </c>
      <c r="R179">
        <f>IF(tblSubscriptions[[#This Row],[churned]] = "Yes",1,0)</f>
        <v>0</v>
      </c>
      <c r="S179">
        <f t="shared" si="10"/>
        <v>0</v>
      </c>
      <c r="T179">
        <f t="shared" si="11"/>
        <v>1</v>
      </c>
      <c r="U179">
        <f t="shared" si="12"/>
        <v>0</v>
      </c>
      <c r="V179">
        <f t="shared" si="13"/>
        <v>1</v>
      </c>
      <c r="W179" t="str">
        <f t="shared" si="14"/>
        <v>Medium Risk</v>
      </c>
    </row>
    <row r="180" spans="1:23">
      <c r="A180" t="s">
        <v>327</v>
      </c>
      <c r="B180" t="s">
        <v>33</v>
      </c>
      <c r="C180" t="s">
        <v>19</v>
      </c>
      <c r="D180" t="s">
        <v>97</v>
      </c>
      <c r="E180" t="s">
        <v>21</v>
      </c>
      <c r="F180">
        <v>67</v>
      </c>
      <c r="G180">
        <v>316</v>
      </c>
      <c r="H180" t="s">
        <v>48</v>
      </c>
      <c r="I180" t="s">
        <v>42</v>
      </c>
      <c r="J180" s="1">
        <v>45468</v>
      </c>
      <c r="K180" t="s">
        <v>27</v>
      </c>
      <c r="L180" t="s">
        <v>31</v>
      </c>
      <c r="M180" t="s">
        <v>31</v>
      </c>
      <c r="N180">
        <v>3</v>
      </c>
      <c r="O180">
        <v>10</v>
      </c>
      <c r="P180">
        <v>26</v>
      </c>
      <c r="Q180" t="s">
        <v>27</v>
      </c>
      <c r="R180">
        <f>IF(tblSubscriptions[[#This Row],[churned]] = "Yes",1,0)</f>
        <v>0</v>
      </c>
      <c r="S180">
        <f t="shared" si="10"/>
        <v>1</v>
      </c>
      <c r="T180">
        <f t="shared" si="11"/>
        <v>0</v>
      </c>
      <c r="U180">
        <f t="shared" si="12"/>
        <v>0</v>
      </c>
      <c r="V180">
        <f t="shared" si="13"/>
        <v>1</v>
      </c>
      <c r="W180" t="str">
        <f t="shared" si="14"/>
        <v>Medium Risk</v>
      </c>
    </row>
    <row r="181" spans="1:23">
      <c r="A181" t="s">
        <v>328</v>
      </c>
      <c r="B181" t="s">
        <v>18</v>
      </c>
      <c r="C181" t="s">
        <v>29</v>
      </c>
      <c r="D181" t="s">
        <v>40</v>
      </c>
      <c r="E181" t="s">
        <v>21</v>
      </c>
      <c r="F181">
        <v>29</v>
      </c>
      <c r="G181">
        <v>349</v>
      </c>
      <c r="H181" t="s">
        <v>48</v>
      </c>
      <c r="I181" t="s">
        <v>23</v>
      </c>
      <c r="J181" s="1">
        <v>44846</v>
      </c>
      <c r="K181" t="s">
        <v>24</v>
      </c>
      <c r="L181" t="s">
        <v>329</v>
      </c>
      <c r="M181" t="s">
        <v>62</v>
      </c>
      <c r="N181">
        <v>2</v>
      </c>
      <c r="O181">
        <v>5</v>
      </c>
      <c r="P181">
        <v>42</v>
      </c>
      <c r="Q181" t="s">
        <v>27</v>
      </c>
      <c r="R181">
        <f>IF(tblSubscriptions[[#This Row],[churned]] = "Yes",1,0)</f>
        <v>1</v>
      </c>
      <c r="S181">
        <f t="shared" si="10"/>
        <v>1</v>
      </c>
      <c r="T181">
        <f t="shared" si="11"/>
        <v>1</v>
      </c>
      <c r="U181">
        <f t="shared" si="12"/>
        <v>0</v>
      </c>
      <c r="V181">
        <f t="shared" si="13"/>
        <v>2</v>
      </c>
      <c r="W181" t="str">
        <f t="shared" si="14"/>
        <v>High Risk</v>
      </c>
    </row>
    <row r="182" spans="1:23">
      <c r="A182" t="s">
        <v>330</v>
      </c>
      <c r="B182" t="s">
        <v>18</v>
      </c>
      <c r="C182" t="s">
        <v>19</v>
      </c>
      <c r="D182" t="s">
        <v>73</v>
      </c>
      <c r="E182" t="s">
        <v>47</v>
      </c>
      <c r="F182">
        <v>4</v>
      </c>
      <c r="G182">
        <v>115</v>
      </c>
      <c r="H182" t="s">
        <v>70</v>
      </c>
      <c r="I182" t="s">
        <v>23</v>
      </c>
      <c r="J182" s="1">
        <v>45330</v>
      </c>
      <c r="K182" t="s">
        <v>24</v>
      </c>
      <c r="L182" t="s">
        <v>92</v>
      </c>
      <c r="M182" t="s">
        <v>26</v>
      </c>
      <c r="N182">
        <v>9</v>
      </c>
      <c r="O182">
        <v>4</v>
      </c>
      <c r="P182">
        <v>44</v>
      </c>
      <c r="Q182" t="s">
        <v>27</v>
      </c>
      <c r="R182">
        <f>IF(tblSubscriptions[[#This Row],[churned]] = "Yes",1,0)</f>
        <v>1</v>
      </c>
      <c r="S182">
        <f t="shared" si="10"/>
        <v>1</v>
      </c>
      <c r="T182">
        <f t="shared" si="11"/>
        <v>1</v>
      </c>
      <c r="U182">
        <f t="shared" si="12"/>
        <v>0</v>
      </c>
      <c r="V182">
        <f t="shared" si="13"/>
        <v>2</v>
      </c>
      <c r="W182" t="str">
        <f t="shared" si="14"/>
        <v>High Risk</v>
      </c>
    </row>
    <row r="183" spans="1:23">
      <c r="A183" t="s">
        <v>331</v>
      </c>
      <c r="B183" t="s">
        <v>18</v>
      </c>
      <c r="C183" t="s">
        <v>29</v>
      </c>
      <c r="D183" t="s">
        <v>40</v>
      </c>
      <c r="E183" t="s">
        <v>21</v>
      </c>
      <c r="F183">
        <v>76</v>
      </c>
      <c r="G183">
        <v>823</v>
      </c>
      <c r="H183" t="s">
        <v>36</v>
      </c>
      <c r="I183" t="s">
        <v>42</v>
      </c>
      <c r="J183" s="1">
        <v>45414</v>
      </c>
      <c r="K183" t="s">
        <v>27</v>
      </c>
      <c r="L183" t="s">
        <v>31</v>
      </c>
      <c r="M183" t="s">
        <v>31</v>
      </c>
      <c r="N183">
        <v>9</v>
      </c>
      <c r="O183">
        <v>6</v>
      </c>
      <c r="P183">
        <v>37</v>
      </c>
      <c r="Q183" t="s">
        <v>27</v>
      </c>
      <c r="R183">
        <f>IF(tblSubscriptions[[#This Row],[churned]] = "Yes",1,0)</f>
        <v>0</v>
      </c>
      <c r="S183">
        <f t="shared" si="10"/>
        <v>1</v>
      </c>
      <c r="T183">
        <f t="shared" si="11"/>
        <v>1</v>
      </c>
      <c r="U183">
        <f t="shared" si="12"/>
        <v>0</v>
      </c>
      <c r="V183">
        <f t="shared" si="13"/>
        <v>2</v>
      </c>
      <c r="W183" t="str">
        <f t="shared" si="14"/>
        <v>High Risk</v>
      </c>
    </row>
    <row r="184" spans="1:23">
      <c r="A184" t="s">
        <v>332</v>
      </c>
      <c r="B184" t="s">
        <v>33</v>
      </c>
      <c r="C184" t="s">
        <v>29</v>
      </c>
      <c r="D184" t="s">
        <v>73</v>
      </c>
      <c r="E184" t="s">
        <v>50</v>
      </c>
      <c r="F184">
        <v>83</v>
      </c>
      <c r="G184">
        <v>328</v>
      </c>
      <c r="H184" t="s">
        <v>36</v>
      </c>
      <c r="I184" t="s">
        <v>23</v>
      </c>
      <c r="J184" s="1">
        <v>45200</v>
      </c>
      <c r="K184" t="s">
        <v>24</v>
      </c>
      <c r="L184" t="s">
        <v>333</v>
      </c>
      <c r="M184" t="s">
        <v>62</v>
      </c>
      <c r="N184">
        <v>8</v>
      </c>
      <c r="O184">
        <v>4</v>
      </c>
      <c r="P184">
        <v>26</v>
      </c>
      <c r="Q184" t="s">
        <v>27</v>
      </c>
      <c r="R184">
        <f>IF(tblSubscriptions[[#This Row],[churned]] = "Yes",1,0)</f>
        <v>1</v>
      </c>
      <c r="S184">
        <f t="shared" si="10"/>
        <v>1</v>
      </c>
      <c r="T184">
        <f t="shared" si="11"/>
        <v>1</v>
      </c>
      <c r="U184">
        <f t="shared" si="12"/>
        <v>0</v>
      </c>
      <c r="V184">
        <f t="shared" si="13"/>
        <v>2</v>
      </c>
      <c r="W184" t="str">
        <f t="shared" si="14"/>
        <v>High Risk</v>
      </c>
    </row>
    <row r="185" spans="1:23">
      <c r="A185" t="s">
        <v>334</v>
      </c>
      <c r="B185" t="s">
        <v>33</v>
      </c>
      <c r="C185" t="s">
        <v>19</v>
      </c>
      <c r="D185" t="s">
        <v>44</v>
      </c>
      <c r="E185" t="s">
        <v>47</v>
      </c>
      <c r="F185">
        <v>7</v>
      </c>
      <c r="G185">
        <v>55</v>
      </c>
      <c r="H185" t="s">
        <v>36</v>
      </c>
      <c r="I185" t="s">
        <v>42</v>
      </c>
      <c r="J185" s="1">
        <v>45616</v>
      </c>
      <c r="K185" t="s">
        <v>27</v>
      </c>
      <c r="L185" t="s">
        <v>31</v>
      </c>
      <c r="M185" t="s">
        <v>31</v>
      </c>
      <c r="N185">
        <v>8</v>
      </c>
      <c r="O185">
        <v>2</v>
      </c>
      <c r="P185">
        <v>63</v>
      </c>
      <c r="Q185" t="s">
        <v>27</v>
      </c>
      <c r="R185">
        <f>IF(tblSubscriptions[[#This Row],[churned]] = "Yes",1,0)</f>
        <v>0</v>
      </c>
      <c r="S185">
        <f t="shared" si="10"/>
        <v>0</v>
      </c>
      <c r="T185">
        <f t="shared" si="11"/>
        <v>1</v>
      </c>
      <c r="U185">
        <f t="shared" si="12"/>
        <v>0</v>
      </c>
      <c r="V185">
        <f t="shared" si="13"/>
        <v>1</v>
      </c>
      <c r="W185" t="str">
        <f t="shared" si="14"/>
        <v>Medium Risk</v>
      </c>
    </row>
    <row r="186" spans="1:23">
      <c r="A186" t="s">
        <v>335</v>
      </c>
      <c r="B186" t="s">
        <v>18</v>
      </c>
      <c r="C186" t="s">
        <v>29</v>
      </c>
      <c r="D186" t="s">
        <v>56</v>
      </c>
      <c r="E186" t="s">
        <v>50</v>
      </c>
      <c r="F186">
        <v>96</v>
      </c>
      <c r="G186">
        <v>1024</v>
      </c>
      <c r="H186" t="s">
        <v>48</v>
      </c>
      <c r="I186" t="s">
        <v>23</v>
      </c>
      <c r="J186" s="1">
        <v>45978</v>
      </c>
      <c r="K186" t="s">
        <v>27</v>
      </c>
      <c r="L186" t="s">
        <v>31</v>
      </c>
      <c r="M186" t="s">
        <v>31</v>
      </c>
      <c r="N186">
        <v>3</v>
      </c>
      <c r="O186">
        <v>8</v>
      </c>
      <c r="P186">
        <v>48</v>
      </c>
      <c r="Q186" t="s">
        <v>27</v>
      </c>
      <c r="R186">
        <f>IF(tblSubscriptions[[#This Row],[churned]] = "Yes",1,0)</f>
        <v>0</v>
      </c>
      <c r="S186">
        <f t="shared" si="10"/>
        <v>1</v>
      </c>
      <c r="T186">
        <f t="shared" si="11"/>
        <v>0</v>
      </c>
      <c r="U186">
        <f t="shared" si="12"/>
        <v>0</v>
      </c>
      <c r="V186">
        <f t="shared" si="13"/>
        <v>1</v>
      </c>
      <c r="W186" t="str">
        <f t="shared" si="14"/>
        <v>Medium Risk</v>
      </c>
    </row>
    <row r="187" spans="1:23">
      <c r="A187" t="s">
        <v>336</v>
      </c>
      <c r="B187" t="s">
        <v>39</v>
      </c>
      <c r="C187" t="s">
        <v>19</v>
      </c>
      <c r="D187" t="s">
        <v>34</v>
      </c>
      <c r="E187" t="s">
        <v>47</v>
      </c>
      <c r="F187">
        <v>6</v>
      </c>
      <c r="G187">
        <v>348</v>
      </c>
      <c r="H187" t="s">
        <v>36</v>
      </c>
      <c r="I187" t="s">
        <v>64</v>
      </c>
      <c r="J187" s="1">
        <v>45833</v>
      </c>
      <c r="K187" t="s">
        <v>24</v>
      </c>
      <c r="L187" t="s">
        <v>337</v>
      </c>
      <c r="M187" t="s">
        <v>62</v>
      </c>
      <c r="N187">
        <v>3</v>
      </c>
      <c r="O187">
        <v>2</v>
      </c>
      <c r="P187">
        <v>17</v>
      </c>
      <c r="Q187" t="s">
        <v>27</v>
      </c>
      <c r="R187">
        <f>IF(tblSubscriptions[[#This Row],[churned]] = "Yes",1,0)</f>
        <v>1</v>
      </c>
      <c r="S187">
        <f t="shared" si="10"/>
        <v>1</v>
      </c>
      <c r="T187">
        <f t="shared" si="11"/>
        <v>1</v>
      </c>
      <c r="U187">
        <f t="shared" si="12"/>
        <v>0</v>
      </c>
      <c r="V187">
        <f t="shared" si="13"/>
        <v>2</v>
      </c>
      <c r="W187" t="str">
        <f t="shared" si="14"/>
        <v>High Risk</v>
      </c>
    </row>
    <row r="188" spans="1:23">
      <c r="A188" t="s">
        <v>338</v>
      </c>
      <c r="B188" t="s">
        <v>18</v>
      </c>
      <c r="C188" t="s">
        <v>19</v>
      </c>
      <c r="D188" t="s">
        <v>73</v>
      </c>
      <c r="E188" t="s">
        <v>47</v>
      </c>
      <c r="F188">
        <v>4</v>
      </c>
      <c r="G188">
        <v>115</v>
      </c>
      <c r="H188" t="s">
        <v>70</v>
      </c>
      <c r="I188" t="s">
        <v>64</v>
      </c>
      <c r="J188" s="1">
        <v>45545</v>
      </c>
      <c r="K188" t="s">
        <v>24</v>
      </c>
      <c r="L188" t="s">
        <v>339</v>
      </c>
      <c r="M188" t="s">
        <v>26</v>
      </c>
      <c r="N188">
        <v>9</v>
      </c>
      <c r="O188">
        <v>3</v>
      </c>
      <c r="P188">
        <v>24</v>
      </c>
      <c r="Q188" t="s">
        <v>27</v>
      </c>
      <c r="R188">
        <f>IF(tblSubscriptions[[#This Row],[churned]] = "Yes",1,0)</f>
        <v>1</v>
      </c>
      <c r="S188">
        <f t="shared" si="10"/>
        <v>1</v>
      </c>
      <c r="T188">
        <f t="shared" si="11"/>
        <v>1</v>
      </c>
      <c r="U188">
        <f t="shared" si="12"/>
        <v>0</v>
      </c>
      <c r="V188">
        <f t="shared" si="13"/>
        <v>2</v>
      </c>
      <c r="W188" t="str">
        <f t="shared" si="14"/>
        <v>High Risk</v>
      </c>
    </row>
    <row r="189" spans="1:23">
      <c r="A189" t="s">
        <v>340</v>
      </c>
      <c r="B189" t="s">
        <v>39</v>
      </c>
      <c r="C189" t="s">
        <v>19</v>
      </c>
      <c r="D189" t="s">
        <v>60</v>
      </c>
      <c r="E189" t="s">
        <v>41</v>
      </c>
      <c r="F189">
        <v>28</v>
      </c>
      <c r="G189">
        <v>1005</v>
      </c>
      <c r="H189" t="s">
        <v>48</v>
      </c>
      <c r="I189" t="s">
        <v>64</v>
      </c>
      <c r="J189" s="1">
        <v>44784</v>
      </c>
      <c r="K189" t="s">
        <v>24</v>
      </c>
      <c r="L189" t="s">
        <v>341</v>
      </c>
      <c r="M189" t="s">
        <v>58</v>
      </c>
      <c r="N189">
        <v>13</v>
      </c>
      <c r="O189">
        <v>4</v>
      </c>
      <c r="P189">
        <v>15</v>
      </c>
      <c r="Q189" t="s">
        <v>27</v>
      </c>
      <c r="R189">
        <f>IF(tblSubscriptions[[#This Row],[churned]] = "Yes",1,0)</f>
        <v>1</v>
      </c>
      <c r="S189">
        <f t="shared" si="10"/>
        <v>1</v>
      </c>
      <c r="T189">
        <f t="shared" si="11"/>
        <v>1</v>
      </c>
      <c r="U189">
        <f t="shared" si="12"/>
        <v>1</v>
      </c>
      <c r="V189">
        <f t="shared" si="13"/>
        <v>3</v>
      </c>
      <c r="W189" t="str">
        <f t="shared" si="14"/>
        <v>High Risk</v>
      </c>
    </row>
    <row r="190" spans="1:23">
      <c r="A190" t="s">
        <v>342</v>
      </c>
      <c r="B190" t="s">
        <v>33</v>
      </c>
      <c r="C190" t="s">
        <v>19</v>
      </c>
      <c r="D190" t="s">
        <v>97</v>
      </c>
      <c r="E190" t="s">
        <v>50</v>
      </c>
      <c r="F190">
        <v>141</v>
      </c>
      <c r="G190">
        <v>638</v>
      </c>
      <c r="H190" t="s">
        <v>30</v>
      </c>
      <c r="I190" t="s">
        <v>23</v>
      </c>
      <c r="J190" s="1">
        <v>45911</v>
      </c>
      <c r="K190" t="s">
        <v>27</v>
      </c>
      <c r="L190" t="s">
        <v>31</v>
      </c>
      <c r="M190" t="s">
        <v>31</v>
      </c>
      <c r="N190">
        <v>11</v>
      </c>
      <c r="O190">
        <v>4</v>
      </c>
      <c r="P190">
        <v>88</v>
      </c>
      <c r="Q190" t="s">
        <v>27</v>
      </c>
      <c r="R190">
        <f>IF(tblSubscriptions[[#This Row],[churned]] = "Yes",1,0)</f>
        <v>0</v>
      </c>
      <c r="S190">
        <f t="shared" si="10"/>
        <v>0</v>
      </c>
      <c r="T190">
        <f t="shared" si="11"/>
        <v>1</v>
      </c>
      <c r="U190">
        <f t="shared" si="12"/>
        <v>1</v>
      </c>
      <c r="V190">
        <f t="shared" si="13"/>
        <v>2</v>
      </c>
      <c r="W190" t="str">
        <f t="shared" si="14"/>
        <v>High Risk</v>
      </c>
    </row>
    <row r="191" spans="1:23">
      <c r="A191" t="s">
        <v>343</v>
      </c>
      <c r="B191" t="s">
        <v>18</v>
      </c>
      <c r="C191" t="s">
        <v>19</v>
      </c>
      <c r="D191" t="s">
        <v>97</v>
      </c>
      <c r="E191" t="s">
        <v>21</v>
      </c>
      <c r="F191">
        <v>70</v>
      </c>
      <c r="G191">
        <v>897</v>
      </c>
      <c r="H191" t="s">
        <v>124</v>
      </c>
      <c r="I191" t="s">
        <v>23</v>
      </c>
      <c r="J191" s="1">
        <v>45117</v>
      </c>
      <c r="K191" t="s">
        <v>27</v>
      </c>
      <c r="L191" t="s">
        <v>31</v>
      </c>
      <c r="M191" t="s">
        <v>31</v>
      </c>
      <c r="N191">
        <v>7</v>
      </c>
      <c r="O191">
        <v>10</v>
      </c>
      <c r="P191">
        <v>63</v>
      </c>
      <c r="Q191" t="s">
        <v>27</v>
      </c>
      <c r="R191">
        <f>IF(tblSubscriptions[[#This Row],[churned]] = "Yes",1,0)</f>
        <v>0</v>
      </c>
      <c r="S191">
        <f t="shared" si="10"/>
        <v>0</v>
      </c>
      <c r="T191">
        <f t="shared" si="11"/>
        <v>0</v>
      </c>
      <c r="U191">
        <f t="shared" si="12"/>
        <v>0</v>
      </c>
      <c r="V191">
        <f t="shared" si="13"/>
        <v>0</v>
      </c>
      <c r="W191" t="str">
        <f t="shared" si="14"/>
        <v>Low Risk</v>
      </c>
    </row>
    <row r="192" spans="1:23">
      <c r="A192" t="s">
        <v>344</v>
      </c>
      <c r="B192" t="s">
        <v>33</v>
      </c>
      <c r="C192" t="s">
        <v>19</v>
      </c>
      <c r="D192" t="s">
        <v>56</v>
      </c>
      <c r="E192" t="s">
        <v>41</v>
      </c>
      <c r="F192">
        <v>30</v>
      </c>
      <c r="G192">
        <v>155</v>
      </c>
      <c r="H192" t="s">
        <v>36</v>
      </c>
      <c r="I192" t="s">
        <v>23</v>
      </c>
      <c r="J192" s="1">
        <v>44916</v>
      </c>
      <c r="K192" t="s">
        <v>24</v>
      </c>
      <c r="L192" t="s">
        <v>345</v>
      </c>
      <c r="M192" t="s">
        <v>75</v>
      </c>
      <c r="N192">
        <v>15</v>
      </c>
      <c r="O192">
        <v>2</v>
      </c>
      <c r="P192">
        <v>23</v>
      </c>
      <c r="Q192" t="s">
        <v>27</v>
      </c>
      <c r="R192">
        <f>IF(tblSubscriptions[[#This Row],[churned]] = "Yes",1,0)</f>
        <v>1</v>
      </c>
      <c r="S192">
        <f t="shared" si="10"/>
        <v>1</v>
      </c>
      <c r="T192">
        <f t="shared" si="11"/>
        <v>1</v>
      </c>
      <c r="U192">
        <f t="shared" si="12"/>
        <v>1</v>
      </c>
      <c r="V192">
        <f t="shared" si="13"/>
        <v>3</v>
      </c>
      <c r="W192" t="str">
        <f t="shared" si="14"/>
        <v>High Risk</v>
      </c>
    </row>
    <row r="193" spans="1:23">
      <c r="A193" t="s">
        <v>346</v>
      </c>
      <c r="B193" t="s">
        <v>39</v>
      </c>
      <c r="C193" t="s">
        <v>19</v>
      </c>
      <c r="D193" t="s">
        <v>40</v>
      </c>
      <c r="E193" t="s">
        <v>21</v>
      </c>
      <c r="F193">
        <v>74</v>
      </c>
      <c r="G193">
        <v>2378</v>
      </c>
      <c r="H193" t="s">
        <v>124</v>
      </c>
      <c r="I193" t="s">
        <v>23</v>
      </c>
      <c r="J193" s="1">
        <v>44636</v>
      </c>
      <c r="K193" t="s">
        <v>27</v>
      </c>
      <c r="L193" t="s">
        <v>31</v>
      </c>
      <c r="M193" t="s">
        <v>31</v>
      </c>
      <c r="N193">
        <v>8</v>
      </c>
      <c r="O193">
        <v>10</v>
      </c>
      <c r="P193">
        <v>46</v>
      </c>
      <c r="Q193" t="s">
        <v>24</v>
      </c>
      <c r="R193">
        <f>IF(tblSubscriptions[[#This Row],[churned]] = "Yes",1,0)</f>
        <v>0</v>
      </c>
      <c r="S193">
        <f t="shared" si="10"/>
        <v>1</v>
      </c>
      <c r="T193">
        <f t="shared" si="11"/>
        <v>0</v>
      </c>
      <c r="U193">
        <f t="shared" si="12"/>
        <v>0</v>
      </c>
      <c r="V193">
        <f t="shared" si="13"/>
        <v>1</v>
      </c>
      <c r="W193" t="str">
        <f t="shared" si="14"/>
        <v>Medium Risk</v>
      </c>
    </row>
    <row r="194" spans="1:23">
      <c r="A194" t="s">
        <v>347</v>
      </c>
      <c r="B194" t="s">
        <v>87</v>
      </c>
      <c r="C194" t="s">
        <v>19</v>
      </c>
      <c r="D194" t="s">
        <v>20</v>
      </c>
      <c r="E194" t="s">
        <v>41</v>
      </c>
      <c r="F194">
        <v>33</v>
      </c>
      <c r="G194">
        <v>2894</v>
      </c>
      <c r="H194" t="s">
        <v>124</v>
      </c>
      <c r="I194" t="s">
        <v>23</v>
      </c>
      <c r="J194" s="1">
        <v>45553</v>
      </c>
      <c r="K194" t="s">
        <v>27</v>
      </c>
      <c r="L194" t="s">
        <v>31</v>
      </c>
      <c r="M194" t="s">
        <v>31</v>
      </c>
      <c r="N194">
        <v>0</v>
      </c>
      <c r="O194">
        <v>1</v>
      </c>
      <c r="P194">
        <v>43</v>
      </c>
      <c r="Q194" t="s">
        <v>24</v>
      </c>
      <c r="R194">
        <f>IF(tblSubscriptions[[#This Row],[churned]] = "Yes",1,0)</f>
        <v>0</v>
      </c>
      <c r="S194">
        <f t="shared" ref="S194:S257" si="15">IF(P194&lt;50,1,0)</f>
        <v>1</v>
      </c>
      <c r="T194">
        <f t="shared" ref="T194:T257" si="16">IF(O194&lt;=6,1,0)</f>
        <v>1</v>
      </c>
      <c r="U194">
        <f t="shared" ref="U194:U257" si="17">IF(N194&gt;=11,1,0)</f>
        <v>0</v>
      </c>
      <c r="V194">
        <f t="shared" ref="V194:V257" si="18">S194+T194+U194</f>
        <v>2</v>
      </c>
      <c r="W194" t="str">
        <f t="shared" ref="W194:W257" si="19">IF(V194&gt;=2,"High Risk",IF(V194=1,"Medium Risk","Low Risk"))</f>
        <v>High Risk</v>
      </c>
    </row>
    <row r="195" spans="1:23">
      <c r="A195" t="s">
        <v>348</v>
      </c>
      <c r="B195" t="s">
        <v>33</v>
      </c>
      <c r="C195" t="s">
        <v>29</v>
      </c>
      <c r="D195" t="s">
        <v>34</v>
      </c>
      <c r="E195" t="s">
        <v>35</v>
      </c>
      <c r="F195">
        <v>225</v>
      </c>
      <c r="G195">
        <v>853</v>
      </c>
      <c r="H195" t="s">
        <v>48</v>
      </c>
      <c r="I195" t="s">
        <v>42</v>
      </c>
      <c r="J195" s="1">
        <v>44984</v>
      </c>
      <c r="K195" t="s">
        <v>27</v>
      </c>
      <c r="L195" t="s">
        <v>31</v>
      </c>
      <c r="M195" t="s">
        <v>31</v>
      </c>
      <c r="N195">
        <v>6</v>
      </c>
      <c r="O195">
        <v>9</v>
      </c>
      <c r="P195">
        <v>50</v>
      </c>
      <c r="Q195" t="s">
        <v>24</v>
      </c>
      <c r="R195">
        <f>IF(tblSubscriptions[[#This Row],[churned]] = "Yes",1,0)</f>
        <v>0</v>
      </c>
      <c r="S195">
        <f t="shared" si="15"/>
        <v>0</v>
      </c>
      <c r="T195">
        <f t="shared" si="16"/>
        <v>0</v>
      </c>
      <c r="U195">
        <f t="shared" si="17"/>
        <v>0</v>
      </c>
      <c r="V195">
        <f t="shared" si="18"/>
        <v>0</v>
      </c>
      <c r="W195" t="str">
        <f t="shared" si="19"/>
        <v>Low Risk</v>
      </c>
    </row>
    <row r="196" spans="1:23">
      <c r="A196" t="s">
        <v>349</v>
      </c>
      <c r="B196" t="s">
        <v>33</v>
      </c>
      <c r="C196" t="s">
        <v>29</v>
      </c>
      <c r="D196" t="s">
        <v>73</v>
      </c>
      <c r="E196" t="s">
        <v>47</v>
      </c>
      <c r="F196">
        <v>3</v>
      </c>
      <c r="G196">
        <v>32</v>
      </c>
      <c r="H196" t="s">
        <v>70</v>
      </c>
      <c r="I196" t="s">
        <v>23</v>
      </c>
      <c r="J196" s="1">
        <v>45220</v>
      </c>
      <c r="K196" t="s">
        <v>24</v>
      </c>
      <c r="L196" t="s">
        <v>350</v>
      </c>
      <c r="M196" t="s">
        <v>62</v>
      </c>
      <c r="N196">
        <v>4</v>
      </c>
      <c r="O196">
        <v>5</v>
      </c>
      <c r="P196">
        <v>33</v>
      </c>
      <c r="Q196" t="s">
        <v>27</v>
      </c>
      <c r="R196">
        <f>IF(tblSubscriptions[[#This Row],[churned]] = "Yes",1,0)</f>
        <v>1</v>
      </c>
      <c r="S196">
        <f t="shared" si="15"/>
        <v>1</v>
      </c>
      <c r="T196">
        <f t="shared" si="16"/>
        <v>1</v>
      </c>
      <c r="U196">
        <f t="shared" si="17"/>
        <v>0</v>
      </c>
      <c r="V196">
        <f t="shared" si="18"/>
        <v>2</v>
      </c>
      <c r="W196" t="str">
        <f t="shared" si="19"/>
        <v>High Risk</v>
      </c>
    </row>
    <row r="197" spans="1:23">
      <c r="A197" t="s">
        <v>351</v>
      </c>
      <c r="B197" t="s">
        <v>18</v>
      </c>
      <c r="C197" t="s">
        <v>29</v>
      </c>
      <c r="D197" t="s">
        <v>56</v>
      </c>
      <c r="E197" t="s">
        <v>41</v>
      </c>
      <c r="F197">
        <v>20</v>
      </c>
      <c r="G197">
        <v>259</v>
      </c>
      <c r="H197" t="s">
        <v>70</v>
      </c>
      <c r="I197" t="s">
        <v>42</v>
      </c>
      <c r="J197" s="1">
        <v>45722</v>
      </c>
      <c r="K197" t="s">
        <v>27</v>
      </c>
      <c r="L197" t="s">
        <v>31</v>
      </c>
      <c r="M197" t="s">
        <v>31</v>
      </c>
      <c r="N197">
        <v>6</v>
      </c>
      <c r="O197">
        <v>7</v>
      </c>
      <c r="P197">
        <v>95</v>
      </c>
      <c r="Q197" t="s">
        <v>27</v>
      </c>
      <c r="R197">
        <f>IF(tblSubscriptions[[#This Row],[churned]] = "Yes",1,0)</f>
        <v>0</v>
      </c>
      <c r="S197">
        <f t="shared" si="15"/>
        <v>0</v>
      </c>
      <c r="T197">
        <f t="shared" si="16"/>
        <v>0</v>
      </c>
      <c r="U197">
        <f t="shared" si="17"/>
        <v>0</v>
      </c>
      <c r="V197">
        <f t="shared" si="18"/>
        <v>0</v>
      </c>
      <c r="W197" t="str">
        <f t="shared" si="19"/>
        <v>Low Risk</v>
      </c>
    </row>
    <row r="198" spans="1:23">
      <c r="A198" t="s">
        <v>352</v>
      </c>
      <c r="B198" t="s">
        <v>87</v>
      </c>
      <c r="C198" t="s">
        <v>19</v>
      </c>
      <c r="D198" t="s">
        <v>97</v>
      </c>
      <c r="E198" t="s">
        <v>47</v>
      </c>
      <c r="F198">
        <v>1</v>
      </c>
      <c r="G198">
        <v>499</v>
      </c>
      <c r="H198" t="s">
        <v>22</v>
      </c>
      <c r="I198" t="s">
        <v>64</v>
      </c>
      <c r="J198" s="1">
        <v>44645</v>
      </c>
      <c r="K198" t="s">
        <v>27</v>
      </c>
      <c r="L198" t="s">
        <v>31</v>
      </c>
      <c r="M198" t="s">
        <v>31</v>
      </c>
      <c r="N198">
        <v>8</v>
      </c>
      <c r="O198">
        <v>7</v>
      </c>
      <c r="P198">
        <v>32</v>
      </c>
      <c r="Q198" t="s">
        <v>27</v>
      </c>
      <c r="R198">
        <f>IF(tblSubscriptions[[#This Row],[churned]] = "Yes",1,0)</f>
        <v>0</v>
      </c>
      <c r="S198">
        <f t="shared" si="15"/>
        <v>1</v>
      </c>
      <c r="T198">
        <f t="shared" si="16"/>
        <v>0</v>
      </c>
      <c r="U198">
        <f t="shared" si="17"/>
        <v>0</v>
      </c>
      <c r="V198">
        <f t="shared" si="18"/>
        <v>1</v>
      </c>
      <c r="W198" t="str">
        <f t="shared" si="19"/>
        <v>Medium Risk</v>
      </c>
    </row>
    <row r="199" spans="1:23">
      <c r="A199" t="s">
        <v>353</v>
      </c>
      <c r="B199" t="s">
        <v>33</v>
      </c>
      <c r="C199" t="s">
        <v>19</v>
      </c>
      <c r="D199" t="s">
        <v>60</v>
      </c>
      <c r="E199" t="s">
        <v>21</v>
      </c>
      <c r="F199">
        <v>21</v>
      </c>
      <c r="G199">
        <v>116</v>
      </c>
      <c r="H199" t="s">
        <v>48</v>
      </c>
      <c r="I199" t="s">
        <v>42</v>
      </c>
      <c r="J199" s="1">
        <v>45035</v>
      </c>
      <c r="K199" t="s">
        <v>24</v>
      </c>
      <c r="L199" t="s">
        <v>251</v>
      </c>
      <c r="M199" t="s">
        <v>102</v>
      </c>
      <c r="N199">
        <v>0</v>
      </c>
      <c r="O199">
        <v>1</v>
      </c>
      <c r="P199">
        <v>15</v>
      </c>
      <c r="Q199" t="s">
        <v>27</v>
      </c>
      <c r="R199">
        <f>IF(tblSubscriptions[[#This Row],[churned]] = "Yes",1,0)</f>
        <v>1</v>
      </c>
      <c r="S199">
        <f t="shared" si="15"/>
        <v>1</v>
      </c>
      <c r="T199">
        <f t="shared" si="16"/>
        <v>1</v>
      </c>
      <c r="U199">
        <f t="shared" si="17"/>
        <v>0</v>
      </c>
      <c r="V199">
        <f t="shared" si="18"/>
        <v>2</v>
      </c>
      <c r="W199" t="str">
        <f t="shared" si="19"/>
        <v>High Risk</v>
      </c>
    </row>
    <row r="200" spans="1:23">
      <c r="A200" t="s">
        <v>354</v>
      </c>
      <c r="B200" t="s">
        <v>18</v>
      </c>
      <c r="C200" t="s">
        <v>29</v>
      </c>
      <c r="D200" t="s">
        <v>83</v>
      </c>
      <c r="E200" t="s">
        <v>47</v>
      </c>
      <c r="F200">
        <v>4</v>
      </c>
      <c r="G200">
        <v>97</v>
      </c>
      <c r="H200" t="s">
        <v>70</v>
      </c>
      <c r="I200" t="s">
        <v>23</v>
      </c>
      <c r="J200" s="1">
        <v>45719</v>
      </c>
      <c r="K200" t="s">
        <v>27</v>
      </c>
      <c r="L200" t="s">
        <v>31</v>
      </c>
      <c r="M200" t="s">
        <v>31</v>
      </c>
      <c r="N200">
        <v>2</v>
      </c>
      <c r="O200">
        <v>4</v>
      </c>
      <c r="P200">
        <v>36</v>
      </c>
      <c r="Q200" t="s">
        <v>27</v>
      </c>
      <c r="R200">
        <f>IF(tblSubscriptions[[#This Row],[churned]] = "Yes",1,0)</f>
        <v>0</v>
      </c>
      <c r="S200">
        <f t="shared" si="15"/>
        <v>1</v>
      </c>
      <c r="T200">
        <f t="shared" si="16"/>
        <v>1</v>
      </c>
      <c r="U200">
        <f t="shared" si="17"/>
        <v>0</v>
      </c>
      <c r="V200">
        <f t="shared" si="18"/>
        <v>2</v>
      </c>
      <c r="W200" t="str">
        <f t="shared" si="19"/>
        <v>High Risk</v>
      </c>
    </row>
    <row r="201" spans="1:23">
      <c r="A201" t="s">
        <v>355</v>
      </c>
      <c r="B201" t="s">
        <v>18</v>
      </c>
      <c r="C201" t="s">
        <v>29</v>
      </c>
      <c r="D201" t="s">
        <v>73</v>
      </c>
      <c r="E201" t="s">
        <v>50</v>
      </c>
      <c r="F201">
        <v>35</v>
      </c>
      <c r="G201">
        <v>410</v>
      </c>
      <c r="H201" t="s">
        <v>22</v>
      </c>
      <c r="I201" t="s">
        <v>23</v>
      </c>
      <c r="J201" s="1">
        <v>44858</v>
      </c>
      <c r="K201" t="s">
        <v>24</v>
      </c>
      <c r="L201" t="s">
        <v>356</v>
      </c>
      <c r="M201" t="s">
        <v>102</v>
      </c>
      <c r="N201">
        <v>15</v>
      </c>
      <c r="O201">
        <v>1</v>
      </c>
      <c r="P201">
        <v>21</v>
      </c>
      <c r="Q201" t="s">
        <v>27</v>
      </c>
      <c r="R201">
        <f>IF(tblSubscriptions[[#This Row],[churned]] = "Yes",1,0)</f>
        <v>1</v>
      </c>
      <c r="S201">
        <f t="shared" si="15"/>
        <v>1</v>
      </c>
      <c r="T201">
        <f t="shared" si="16"/>
        <v>1</v>
      </c>
      <c r="U201">
        <f t="shared" si="17"/>
        <v>1</v>
      </c>
      <c r="V201">
        <f t="shared" si="18"/>
        <v>3</v>
      </c>
      <c r="W201" t="str">
        <f t="shared" si="19"/>
        <v>High Risk</v>
      </c>
    </row>
    <row r="202" spans="1:23">
      <c r="A202" t="s">
        <v>357</v>
      </c>
      <c r="B202" t="s">
        <v>33</v>
      </c>
      <c r="C202" t="s">
        <v>19</v>
      </c>
      <c r="D202" t="s">
        <v>56</v>
      </c>
      <c r="E202" t="s">
        <v>41</v>
      </c>
      <c r="F202">
        <v>13</v>
      </c>
      <c r="G202">
        <v>81</v>
      </c>
      <c r="H202" t="s">
        <v>36</v>
      </c>
      <c r="I202" t="s">
        <v>42</v>
      </c>
      <c r="J202" s="1">
        <v>45105</v>
      </c>
      <c r="K202" t="s">
        <v>24</v>
      </c>
      <c r="L202" t="s">
        <v>358</v>
      </c>
      <c r="M202" t="s">
        <v>62</v>
      </c>
      <c r="N202">
        <v>15</v>
      </c>
      <c r="O202">
        <v>1</v>
      </c>
      <c r="P202">
        <v>44</v>
      </c>
      <c r="Q202" t="s">
        <v>27</v>
      </c>
      <c r="R202">
        <f>IF(tblSubscriptions[[#This Row],[churned]] = "Yes",1,0)</f>
        <v>1</v>
      </c>
      <c r="S202">
        <f t="shared" si="15"/>
        <v>1</v>
      </c>
      <c r="T202">
        <f t="shared" si="16"/>
        <v>1</v>
      </c>
      <c r="U202">
        <f t="shared" si="17"/>
        <v>1</v>
      </c>
      <c r="V202">
        <f t="shared" si="18"/>
        <v>3</v>
      </c>
      <c r="W202" t="str">
        <f t="shared" si="19"/>
        <v>High Risk</v>
      </c>
    </row>
    <row r="203" spans="1:23">
      <c r="A203" t="s">
        <v>359</v>
      </c>
      <c r="B203" t="s">
        <v>33</v>
      </c>
      <c r="C203" t="s">
        <v>19</v>
      </c>
      <c r="D203" t="s">
        <v>83</v>
      </c>
      <c r="E203" t="s">
        <v>41</v>
      </c>
      <c r="F203">
        <v>30</v>
      </c>
      <c r="G203">
        <v>155</v>
      </c>
      <c r="H203" t="s">
        <v>36</v>
      </c>
      <c r="I203" t="s">
        <v>84</v>
      </c>
      <c r="J203" s="1">
        <v>45205</v>
      </c>
      <c r="K203" t="s">
        <v>24</v>
      </c>
      <c r="L203" t="s">
        <v>360</v>
      </c>
      <c r="M203" t="s">
        <v>26</v>
      </c>
      <c r="N203">
        <v>3</v>
      </c>
      <c r="O203">
        <v>1</v>
      </c>
      <c r="P203">
        <v>25</v>
      </c>
      <c r="Q203" t="s">
        <v>27</v>
      </c>
      <c r="R203">
        <f>IF(tblSubscriptions[[#This Row],[churned]] = "Yes",1,0)</f>
        <v>1</v>
      </c>
      <c r="S203">
        <f t="shared" si="15"/>
        <v>1</v>
      </c>
      <c r="T203">
        <f t="shared" si="16"/>
        <v>1</v>
      </c>
      <c r="U203">
        <f t="shared" si="17"/>
        <v>0</v>
      </c>
      <c r="V203">
        <f t="shared" si="18"/>
        <v>2</v>
      </c>
      <c r="W203" t="str">
        <f t="shared" si="19"/>
        <v>High Risk</v>
      </c>
    </row>
    <row r="204" spans="1:23">
      <c r="A204" t="s">
        <v>361</v>
      </c>
      <c r="B204" t="s">
        <v>39</v>
      </c>
      <c r="C204" t="s">
        <v>19</v>
      </c>
      <c r="D204" t="s">
        <v>97</v>
      </c>
      <c r="E204" t="s">
        <v>47</v>
      </c>
      <c r="F204">
        <v>8</v>
      </c>
      <c r="G204">
        <v>408</v>
      </c>
      <c r="H204" t="s">
        <v>30</v>
      </c>
      <c r="I204" t="s">
        <v>84</v>
      </c>
      <c r="J204" s="1">
        <v>45137</v>
      </c>
      <c r="K204" t="s">
        <v>24</v>
      </c>
      <c r="L204" t="s">
        <v>183</v>
      </c>
      <c r="M204" t="s">
        <v>62</v>
      </c>
      <c r="N204">
        <v>1</v>
      </c>
      <c r="O204">
        <v>5</v>
      </c>
      <c r="P204">
        <v>12</v>
      </c>
      <c r="Q204" t="s">
        <v>27</v>
      </c>
      <c r="R204">
        <f>IF(tblSubscriptions[[#This Row],[churned]] = "Yes",1,0)</f>
        <v>1</v>
      </c>
      <c r="S204">
        <f t="shared" si="15"/>
        <v>1</v>
      </c>
      <c r="T204">
        <f t="shared" si="16"/>
        <v>1</v>
      </c>
      <c r="U204">
        <f t="shared" si="17"/>
        <v>0</v>
      </c>
      <c r="V204">
        <f t="shared" si="18"/>
        <v>2</v>
      </c>
      <c r="W204" t="str">
        <f t="shared" si="19"/>
        <v>High Risk</v>
      </c>
    </row>
    <row r="205" spans="1:23">
      <c r="A205" t="s">
        <v>362</v>
      </c>
      <c r="B205" t="s">
        <v>33</v>
      </c>
      <c r="C205" t="s">
        <v>19</v>
      </c>
      <c r="D205" t="s">
        <v>73</v>
      </c>
      <c r="E205" t="s">
        <v>21</v>
      </c>
      <c r="F205">
        <v>64</v>
      </c>
      <c r="G205">
        <v>303</v>
      </c>
      <c r="H205" t="s">
        <v>36</v>
      </c>
      <c r="I205" t="s">
        <v>23</v>
      </c>
      <c r="J205" s="1">
        <v>45431</v>
      </c>
      <c r="K205" t="s">
        <v>24</v>
      </c>
      <c r="L205" t="s">
        <v>363</v>
      </c>
      <c r="M205" t="s">
        <v>52</v>
      </c>
      <c r="N205">
        <v>11</v>
      </c>
      <c r="O205">
        <v>1</v>
      </c>
      <c r="P205">
        <v>49</v>
      </c>
      <c r="Q205" t="s">
        <v>27</v>
      </c>
      <c r="R205">
        <f>IF(tblSubscriptions[[#This Row],[churned]] = "Yes",1,0)</f>
        <v>1</v>
      </c>
      <c r="S205">
        <f t="shared" si="15"/>
        <v>1</v>
      </c>
      <c r="T205">
        <f t="shared" si="16"/>
        <v>1</v>
      </c>
      <c r="U205">
        <f t="shared" si="17"/>
        <v>1</v>
      </c>
      <c r="V205">
        <f t="shared" si="18"/>
        <v>3</v>
      </c>
      <c r="W205" t="str">
        <f t="shared" si="19"/>
        <v>High Risk</v>
      </c>
    </row>
    <row r="206" spans="1:23">
      <c r="A206" t="s">
        <v>364</v>
      </c>
      <c r="B206" t="s">
        <v>39</v>
      </c>
      <c r="C206" t="s">
        <v>29</v>
      </c>
      <c r="D206" t="s">
        <v>60</v>
      </c>
      <c r="E206" t="s">
        <v>21</v>
      </c>
      <c r="F206">
        <v>67</v>
      </c>
      <c r="G206">
        <v>1844</v>
      </c>
      <c r="H206" t="s">
        <v>22</v>
      </c>
      <c r="I206" t="s">
        <v>42</v>
      </c>
      <c r="J206" s="1">
        <v>45277</v>
      </c>
      <c r="K206" t="s">
        <v>27</v>
      </c>
      <c r="L206" t="s">
        <v>31</v>
      </c>
      <c r="M206" t="s">
        <v>31</v>
      </c>
      <c r="N206">
        <v>12</v>
      </c>
      <c r="O206">
        <v>1</v>
      </c>
      <c r="P206">
        <v>85</v>
      </c>
      <c r="Q206" t="s">
        <v>24</v>
      </c>
      <c r="R206">
        <f>IF(tblSubscriptions[[#This Row],[churned]] = "Yes",1,0)</f>
        <v>0</v>
      </c>
      <c r="S206">
        <f t="shared" si="15"/>
        <v>0</v>
      </c>
      <c r="T206">
        <f t="shared" si="16"/>
        <v>1</v>
      </c>
      <c r="U206">
        <f t="shared" si="17"/>
        <v>1</v>
      </c>
      <c r="V206">
        <f t="shared" si="18"/>
        <v>2</v>
      </c>
      <c r="W206" t="str">
        <f t="shared" si="19"/>
        <v>High Risk</v>
      </c>
    </row>
    <row r="207" spans="1:23">
      <c r="A207" t="s">
        <v>365</v>
      </c>
      <c r="B207" t="s">
        <v>33</v>
      </c>
      <c r="C207" t="s">
        <v>19</v>
      </c>
      <c r="D207" t="s">
        <v>60</v>
      </c>
      <c r="E207" t="s">
        <v>50</v>
      </c>
      <c r="F207">
        <v>72</v>
      </c>
      <c r="G207">
        <v>338</v>
      </c>
      <c r="H207" t="s">
        <v>22</v>
      </c>
      <c r="I207" t="s">
        <v>42</v>
      </c>
      <c r="J207" s="1">
        <v>45374</v>
      </c>
      <c r="K207" t="s">
        <v>24</v>
      </c>
      <c r="L207" t="s">
        <v>366</v>
      </c>
      <c r="M207" t="s">
        <v>58</v>
      </c>
      <c r="N207">
        <v>5</v>
      </c>
      <c r="O207">
        <v>6</v>
      </c>
      <c r="P207">
        <v>33</v>
      </c>
      <c r="Q207" t="s">
        <v>27</v>
      </c>
      <c r="R207">
        <f>IF(tblSubscriptions[[#This Row],[churned]] = "Yes",1,0)</f>
        <v>1</v>
      </c>
      <c r="S207">
        <f t="shared" si="15"/>
        <v>1</v>
      </c>
      <c r="T207">
        <f t="shared" si="16"/>
        <v>1</v>
      </c>
      <c r="U207">
        <f t="shared" si="17"/>
        <v>0</v>
      </c>
      <c r="V207">
        <f t="shared" si="18"/>
        <v>2</v>
      </c>
      <c r="W207" t="str">
        <f t="shared" si="19"/>
        <v>High Risk</v>
      </c>
    </row>
    <row r="208" spans="1:23">
      <c r="A208" t="s">
        <v>367</v>
      </c>
      <c r="B208" t="s">
        <v>39</v>
      </c>
      <c r="C208" t="s">
        <v>19</v>
      </c>
      <c r="D208" t="s">
        <v>40</v>
      </c>
      <c r="E208" t="s">
        <v>47</v>
      </c>
      <c r="F208">
        <v>1</v>
      </c>
      <c r="G208">
        <v>199</v>
      </c>
      <c r="H208" t="s">
        <v>36</v>
      </c>
      <c r="I208" t="s">
        <v>23</v>
      </c>
      <c r="J208" s="1">
        <v>45018</v>
      </c>
      <c r="K208" t="s">
        <v>24</v>
      </c>
      <c r="L208" t="s">
        <v>368</v>
      </c>
      <c r="M208" t="s">
        <v>75</v>
      </c>
      <c r="N208">
        <v>12</v>
      </c>
      <c r="O208">
        <v>2</v>
      </c>
      <c r="P208">
        <v>16</v>
      </c>
      <c r="Q208" t="s">
        <v>27</v>
      </c>
      <c r="R208">
        <f>IF(tblSubscriptions[[#This Row],[churned]] = "Yes",1,0)</f>
        <v>1</v>
      </c>
      <c r="S208">
        <f t="shared" si="15"/>
        <v>1</v>
      </c>
      <c r="T208">
        <f t="shared" si="16"/>
        <v>1</v>
      </c>
      <c r="U208">
        <f t="shared" si="17"/>
        <v>1</v>
      </c>
      <c r="V208">
        <f t="shared" si="18"/>
        <v>3</v>
      </c>
      <c r="W208" t="str">
        <f t="shared" si="19"/>
        <v>High Risk</v>
      </c>
    </row>
    <row r="209" spans="1:23">
      <c r="A209" t="s">
        <v>369</v>
      </c>
      <c r="B209" t="s">
        <v>33</v>
      </c>
      <c r="C209" t="s">
        <v>19</v>
      </c>
      <c r="D209" t="s">
        <v>97</v>
      </c>
      <c r="E209" t="s">
        <v>41</v>
      </c>
      <c r="F209">
        <v>5</v>
      </c>
      <c r="G209">
        <v>46</v>
      </c>
      <c r="H209" t="s">
        <v>48</v>
      </c>
      <c r="I209" t="s">
        <v>23</v>
      </c>
      <c r="J209" s="1">
        <v>45676</v>
      </c>
      <c r="K209" t="s">
        <v>24</v>
      </c>
      <c r="L209" t="s">
        <v>370</v>
      </c>
      <c r="M209" t="s">
        <v>102</v>
      </c>
      <c r="N209">
        <v>8</v>
      </c>
      <c r="O209">
        <v>4</v>
      </c>
      <c r="P209">
        <v>21</v>
      </c>
      <c r="Q209" t="s">
        <v>27</v>
      </c>
      <c r="R209">
        <f>IF(tblSubscriptions[[#This Row],[churned]] = "Yes",1,0)</f>
        <v>1</v>
      </c>
      <c r="S209">
        <f t="shared" si="15"/>
        <v>1</v>
      </c>
      <c r="T209">
        <f t="shared" si="16"/>
        <v>1</v>
      </c>
      <c r="U209">
        <f t="shared" si="17"/>
        <v>0</v>
      </c>
      <c r="V209">
        <f t="shared" si="18"/>
        <v>2</v>
      </c>
      <c r="W209" t="str">
        <f t="shared" si="19"/>
        <v>High Risk</v>
      </c>
    </row>
    <row r="210" spans="1:23">
      <c r="A210" t="s">
        <v>371</v>
      </c>
      <c r="B210" t="s">
        <v>33</v>
      </c>
      <c r="C210" t="s">
        <v>29</v>
      </c>
      <c r="D210" t="s">
        <v>60</v>
      </c>
      <c r="E210" t="s">
        <v>21</v>
      </c>
      <c r="F210">
        <v>46</v>
      </c>
      <c r="G210">
        <v>191</v>
      </c>
      <c r="H210" t="s">
        <v>124</v>
      </c>
      <c r="I210" t="s">
        <v>42</v>
      </c>
      <c r="J210" s="1">
        <v>44686</v>
      </c>
      <c r="K210" t="s">
        <v>24</v>
      </c>
      <c r="L210" t="s">
        <v>372</v>
      </c>
      <c r="M210" t="s">
        <v>66</v>
      </c>
      <c r="N210">
        <v>2</v>
      </c>
      <c r="O210">
        <v>1</v>
      </c>
      <c r="P210">
        <v>13</v>
      </c>
      <c r="Q210" t="s">
        <v>27</v>
      </c>
      <c r="R210">
        <f>IF(tblSubscriptions[[#This Row],[churned]] = "Yes",1,0)</f>
        <v>1</v>
      </c>
      <c r="S210">
        <f t="shared" si="15"/>
        <v>1</v>
      </c>
      <c r="T210">
        <f t="shared" si="16"/>
        <v>1</v>
      </c>
      <c r="U210">
        <f t="shared" si="17"/>
        <v>0</v>
      </c>
      <c r="V210">
        <f t="shared" si="18"/>
        <v>2</v>
      </c>
      <c r="W210" t="str">
        <f t="shared" si="19"/>
        <v>High Risk</v>
      </c>
    </row>
    <row r="211" spans="1:23">
      <c r="A211" t="s">
        <v>373</v>
      </c>
      <c r="B211" t="s">
        <v>87</v>
      </c>
      <c r="C211" t="s">
        <v>19</v>
      </c>
      <c r="D211" t="s">
        <v>60</v>
      </c>
      <c r="E211" t="s">
        <v>21</v>
      </c>
      <c r="F211">
        <v>72</v>
      </c>
      <c r="G211">
        <v>5813</v>
      </c>
      <c r="H211" t="s">
        <v>124</v>
      </c>
      <c r="I211" t="s">
        <v>23</v>
      </c>
      <c r="J211" s="1">
        <v>44826</v>
      </c>
      <c r="K211" t="s">
        <v>24</v>
      </c>
      <c r="L211" t="s">
        <v>374</v>
      </c>
      <c r="M211" t="s">
        <v>26</v>
      </c>
      <c r="N211">
        <v>13</v>
      </c>
      <c r="O211">
        <v>1</v>
      </c>
      <c r="P211">
        <v>17</v>
      </c>
      <c r="Q211" t="s">
        <v>27</v>
      </c>
      <c r="R211">
        <f>IF(tblSubscriptions[[#This Row],[churned]] = "Yes",1,0)</f>
        <v>1</v>
      </c>
      <c r="S211">
        <f t="shared" si="15"/>
        <v>1</v>
      </c>
      <c r="T211">
        <f t="shared" si="16"/>
        <v>1</v>
      </c>
      <c r="U211">
        <f t="shared" si="17"/>
        <v>1</v>
      </c>
      <c r="V211">
        <f t="shared" si="18"/>
        <v>3</v>
      </c>
      <c r="W211" t="str">
        <f t="shared" si="19"/>
        <v>High Risk</v>
      </c>
    </row>
    <row r="212" spans="1:23">
      <c r="A212" t="s">
        <v>375</v>
      </c>
      <c r="B212" t="s">
        <v>87</v>
      </c>
      <c r="C212" t="s">
        <v>29</v>
      </c>
      <c r="D212" t="s">
        <v>73</v>
      </c>
      <c r="E212" t="s">
        <v>50</v>
      </c>
      <c r="F212">
        <v>48</v>
      </c>
      <c r="G212">
        <v>3414</v>
      </c>
      <c r="H212" t="s">
        <v>70</v>
      </c>
      <c r="I212" t="s">
        <v>23</v>
      </c>
      <c r="J212" s="1">
        <v>45838</v>
      </c>
      <c r="K212" t="s">
        <v>27</v>
      </c>
      <c r="L212" t="s">
        <v>31</v>
      </c>
      <c r="M212" t="s">
        <v>31</v>
      </c>
      <c r="N212">
        <v>12</v>
      </c>
      <c r="O212">
        <v>2</v>
      </c>
      <c r="P212">
        <v>23</v>
      </c>
      <c r="Q212" t="s">
        <v>27</v>
      </c>
      <c r="R212">
        <f>IF(tblSubscriptions[[#This Row],[churned]] = "Yes",1,0)</f>
        <v>0</v>
      </c>
      <c r="S212">
        <f t="shared" si="15"/>
        <v>1</v>
      </c>
      <c r="T212">
        <f t="shared" si="16"/>
        <v>1</v>
      </c>
      <c r="U212">
        <f t="shared" si="17"/>
        <v>1</v>
      </c>
      <c r="V212">
        <f t="shared" si="18"/>
        <v>3</v>
      </c>
      <c r="W212" t="str">
        <f t="shared" si="19"/>
        <v>High Risk</v>
      </c>
    </row>
    <row r="213" spans="1:23">
      <c r="A213" t="s">
        <v>376</v>
      </c>
      <c r="B213" t="s">
        <v>39</v>
      </c>
      <c r="C213" t="s">
        <v>29</v>
      </c>
      <c r="D213" t="s">
        <v>20</v>
      </c>
      <c r="E213" t="s">
        <v>47</v>
      </c>
      <c r="F213">
        <v>1</v>
      </c>
      <c r="G213">
        <v>169</v>
      </c>
      <c r="H213" t="s">
        <v>36</v>
      </c>
      <c r="I213" t="s">
        <v>23</v>
      </c>
      <c r="J213" s="1">
        <v>45299</v>
      </c>
      <c r="K213" t="s">
        <v>27</v>
      </c>
      <c r="L213" t="s">
        <v>31</v>
      </c>
      <c r="M213" t="s">
        <v>31</v>
      </c>
      <c r="N213">
        <v>1</v>
      </c>
      <c r="O213">
        <v>6</v>
      </c>
      <c r="P213">
        <v>60</v>
      </c>
      <c r="Q213" t="s">
        <v>27</v>
      </c>
      <c r="R213">
        <f>IF(tblSubscriptions[[#This Row],[churned]] = "Yes",1,0)</f>
        <v>0</v>
      </c>
      <c r="S213">
        <f t="shared" si="15"/>
        <v>0</v>
      </c>
      <c r="T213">
        <f t="shared" si="16"/>
        <v>1</v>
      </c>
      <c r="U213">
        <f t="shared" si="17"/>
        <v>0</v>
      </c>
      <c r="V213">
        <f t="shared" si="18"/>
        <v>1</v>
      </c>
      <c r="W213" t="str">
        <f t="shared" si="19"/>
        <v>Medium Risk</v>
      </c>
    </row>
    <row r="214" spans="1:23">
      <c r="A214" t="s">
        <v>377</v>
      </c>
      <c r="B214" t="s">
        <v>39</v>
      </c>
      <c r="C214" t="s">
        <v>29</v>
      </c>
      <c r="D214" t="s">
        <v>44</v>
      </c>
      <c r="E214" t="s">
        <v>35</v>
      </c>
      <c r="F214">
        <v>209</v>
      </c>
      <c r="G214">
        <v>5447</v>
      </c>
      <c r="H214" t="s">
        <v>36</v>
      </c>
      <c r="I214" t="s">
        <v>23</v>
      </c>
      <c r="J214" s="1">
        <v>45066</v>
      </c>
      <c r="K214" t="s">
        <v>27</v>
      </c>
      <c r="L214" t="s">
        <v>31</v>
      </c>
      <c r="M214" t="s">
        <v>31</v>
      </c>
      <c r="N214">
        <v>4</v>
      </c>
      <c r="O214">
        <v>2</v>
      </c>
      <c r="P214">
        <v>31</v>
      </c>
      <c r="Q214" t="s">
        <v>27</v>
      </c>
      <c r="R214">
        <f>IF(tblSubscriptions[[#This Row],[churned]] = "Yes",1,0)</f>
        <v>0</v>
      </c>
      <c r="S214">
        <f t="shared" si="15"/>
        <v>1</v>
      </c>
      <c r="T214">
        <f t="shared" si="16"/>
        <v>1</v>
      </c>
      <c r="U214">
        <f t="shared" si="17"/>
        <v>0</v>
      </c>
      <c r="V214">
        <f t="shared" si="18"/>
        <v>2</v>
      </c>
      <c r="W214" t="str">
        <f t="shared" si="19"/>
        <v>High Risk</v>
      </c>
    </row>
    <row r="215" spans="1:23">
      <c r="A215" t="s">
        <v>378</v>
      </c>
      <c r="B215" t="s">
        <v>33</v>
      </c>
      <c r="C215" t="s">
        <v>19</v>
      </c>
      <c r="D215" t="s">
        <v>83</v>
      </c>
      <c r="E215" t="s">
        <v>41</v>
      </c>
      <c r="F215">
        <v>17</v>
      </c>
      <c r="G215">
        <v>99</v>
      </c>
      <c r="H215" t="s">
        <v>48</v>
      </c>
      <c r="I215" t="s">
        <v>23</v>
      </c>
      <c r="J215" s="1">
        <v>45558</v>
      </c>
      <c r="K215" t="s">
        <v>24</v>
      </c>
      <c r="L215" t="s">
        <v>379</v>
      </c>
      <c r="M215" t="s">
        <v>75</v>
      </c>
      <c r="N215">
        <v>4</v>
      </c>
      <c r="O215">
        <v>4</v>
      </c>
      <c r="P215">
        <v>10</v>
      </c>
      <c r="Q215" t="s">
        <v>27</v>
      </c>
      <c r="R215">
        <f>IF(tblSubscriptions[[#This Row],[churned]] = "Yes",1,0)</f>
        <v>1</v>
      </c>
      <c r="S215">
        <f t="shared" si="15"/>
        <v>1</v>
      </c>
      <c r="T215">
        <f t="shared" si="16"/>
        <v>1</v>
      </c>
      <c r="U215">
        <f t="shared" si="17"/>
        <v>0</v>
      </c>
      <c r="V215">
        <f t="shared" si="18"/>
        <v>2</v>
      </c>
      <c r="W215" t="str">
        <f t="shared" si="19"/>
        <v>High Risk</v>
      </c>
    </row>
    <row r="216" spans="1:23">
      <c r="A216" t="s">
        <v>380</v>
      </c>
      <c r="B216" t="s">
        <v>33</v>
      </c>
      <c r="C216" t="s">
        <v>19</v>
      </c>
      <c r="D216" t="s">
        <v>97</v>
      </c>
      <c r="E216" t="s">
        <v>41</v>
      </c>
      <c r="F216">
        <v>21</v>
      </c>
      <c r="G216">
        <v>116</v>
      </c>
      <c r="H216" t="s">
        <v>30</v>
      </c>
      <c r="I216" t="s">
        <v>64</v>
      </c>
      <c r="J216" s="1">
        <v>45666</v>
      </c>
      <c r="K216" t="s">
        <v>24</v>
      </c>
      <c r="L216" t="s">
        <v>381</v>
      </c>
      <c r="M216" t="s">
        <v>58</v>
      </c>
      <c r="N216">
        <v>15</v>
      </c>
      <c r="O216">
        <v>5</v>
      </c>
      <c r="P216">
        <v>27</v>
      </c>
      <c r="Q216" t="s">
        <v>27</v>
      </c>
      <c r="R216">
        <f>IF(tblSubscriptions[[#This Row],[churned]] = "Yes",1,0)</f>
        <v>1</v>
      </c>
      <c r="S216">
        <f t="shared" si="15"/>
        <v>1</v>
      </c>
      <c r="T216">
        <f t="shared" si="16"/>
        <v>1</v>
      </c>
      <c r="U216">
        <f t="shared" si="17"/>
        <v>1</v>
      </c>
      <c r="V216">
        <f t="shared" si="18"/>
        <v>3</v>
      </c>
      <c r="W216" t="str">
        <f t="shared" si="19"/>
        <v>High Risk</v>
      </c>
    </row>
    <row r="217" spans="1:23">
      <c r="A217" t="s">
        <v>382</v>
      </c>
      <c r="B217" t="s">
        <v>33</v>
      </c>
      <c r="C217" t="s">
        <v>19</v>
      </c>
      <c r="D217" t="s">
        <v>34</v>
      </c>
      <c r="E217" t="s">
        <v>41</v>
      </c>
      <c r="F217">
        <v>15</v>
      </c>
      <c r="G217">
        <v>90</v>
      </c>
      <c r="H217" t="s">
        <v>22</v>
      </c>
      <c r="I217" t="s">
        <v>23</v>
      </c>
      <c r="J217" s="1">
        <v>45493</v>
      </c>
      <c r="K217" t="s">
        <v>24</v>
      </c>
      <c r="L217" t="s">
        <v>145</v>
      </c>
      <c r="M217" t="s">
        <v>52</v>
      </c>
      <c r="N217">
        <v>11</v>
      </c>
      <c r="O217">
        <v>4</v>
      </c>
      <c r="P217">
        <v>20</v>
      </c>
      <c r="Q217" t="s">
        <v>27</v>
      </c>
      <c r="R217">
        <f>IF(tblSubscriptions[[#This Row],[churned]] = "Yes",1,0)</f>
        <v>1</v>
      </c>
      <c r="S217">
        <f t="shared" si="15"/>
        <v>1</v>
      </c>
      <c r="T217">
        <f t="shared" si="16"/>
        <v>1</v>
      </c>
      <c r="U217">
        <f t="shared" si="17"/>
        <v>1</v>
      </c>
      <c r="V217">
        <f t="shared" si="18"/>
        <v>3</v>
      </c>
      <c r="W217" t="str">
        <f t="shared" si="19"/>
        <v>High Risk</v>
      </c>
    </row>
    <row r="218" spans="1:23">
      <c r="A218" t="s">
        <v>383</v>
      </c>
      <c r="B218" t="s">
        <v>18</v>
      </c>
      <c r="C218" t="s">
        <v>19</v>
      </c>
      <c r="D218" t="s">
        <v>60</v>
      </c>
      <c r="E218" t="s">
        <v>21</v>
      </c>
      <c r="F218">
        <v>46</v>
      </c>
      <c r="G218">
        <v>612</v>
      </c>
      <c r="H218" t="s">
        <v>36</v>
      </c>
      <c r="I218" t="s">
        <v>23</v>
      </c>
      <c r="J218" s="1">
        <v>45387</v>
      </c>
      <c r="K218" t="s">
        <v>27</v>
      </c>
      <c r="L218" t="s">
        <v>31</v>
      </c>
      <c r="M218" t="s">
        <v>31</v>
      </c>
      <c r="N218">
        <v>3</v>
      </c>
      <c r="O218">
        <v>7</v>
      </c>
      <c r="P218">
        <v>39</v>
      </c>
      <c r="Q218" t="s">
        <v>27</v>
      </c>
      <c r="R218">
        <f>IF(tblSubscriptions[[#This Row],[churned]] = "Yes",1,0)</f>
        <v>0</v>
      </c>
      <c r="S218">
        <f t="shared" si="15"/>
        <v>1</v>
      </c>
      <c r="T218">
        <f t="shared" si="16"/>
        <v>0</v>
      </c>
      <c r="U218">
        <f t="shared" si="17"/>
        <v>0</v>
      </c>
      <c r="V218">
        <f t="shared" si="18"/>
        <v>1</v>
      </c>
      <c r="W218" t="str">
        <f t="shared" si="19"/>
        <v>Medium Risk</v>
      </c>
    </row>
    <row r="219" spans="1:23">
      <c r="A219" t="s">
        <v>384</v>
      </c>
      <c r="B219" t="s">
        <v>33</v>
      </c>
      <c r="C219" t="s">
        <v>19</v>
      </c>
      <c r="D219" t="s">
        <v>34</v>
      </c>
      <c r="E219" t="s">
        <v>21</v>
      </c>
      <c r="F219">
        <v>22</v>
      </c>
      <c r="G219">
        <v>120</v>
      </c>
      <c r="H219" t="s">
        <v>30</v>
      </c>
      <c r="I219" t="s">
        <v>23</v>
      </c>
      <c r="J219" s="1">
        <v>44849</v>
      </c>
      <c r="K219" t="s">
        <v>24</v>
      </c>
      <c r="L219" t="s">
        <v>385</v>
      </c>
      <c r="M219" t="s">
        <v>66</v>
      </c>
      <c r="N219">
        <v>3</v>
      </c>
      <c r="O219">
        <v>3</v>
      </c>
      <c r="P219">
        <v>27</v>
      </c>
      <c r="Q219" t="s">
        <v>27</v>
      </c>
      <c r="R219">
        <f>IF(tblSubscriptions[[#This Row],[churned]] = "Yes",1,0)</f>
        <v>1</v>
      </c>
      <c r="S219">
        <f t="shared" si="15"/>
        <v>1</v>
      </c>
      <c r="T219">
        <f t="shared" si="16"/>
        <v>1</v>
      </c>
      <c r="U219">
        <f t="shared" si="17"/>
        <v>0</v>
      </c>
      <c r="V219">
        <f t="shared" si="18"/>
        <v>2</v>
      </c>
      <c r="W219" t="str">
        <f t="shared" si="19"/>
        <v>High Risk</v>
      </c>
    </row>
    <row r="220" spans="1:23">
      <c r="A220" t="s">
        <v>386</v>
      </c>
      <c r="B220" t="s">
        <v>33</v>
      </c>
      <c r="C220" t="s">
        <v>29</v>
      </c>
      <c r="D220" t="s">
        <v>44</v>
      </c>
      <c r="E220" t="s">
        <v>47</v>
      </c>
      <c r="F220">
        <v>8</v>
      </c>
      <c r="G220">
        <v>51</v>
      </c>
      <c r="H220" t="s">
        <v>22</v>
      </c>
      <c r="I220" t="s">
        <v>23</v>
      </c>
      <c r="J220" s="1">
        <v>45160</v>
      </c>
      <c r="K220" t="s">
        <v>27</v>
      </c>
      <c r="L220" t="s">
        <v>31</v>
      </c>
      <c r="M220" t="s">
        <v>31</v>
      </c>
      <c r="N220">
        <v>6</v>
      </c>
      <c r="O220">
        <v>8</v>
      </c>
      <c r="P220">
        <v>32</v>
      </c>
      <c r="Q220" t="s">
        <v>27</v>
      </c>
      <c r="R220">
        <f>IF(tblSubscriptions[[#This Row],[churned]] = "Yes",1,0)</f>
        <v>0</v>
      </c>
      <c r="S220">
        <f t="shared" si="15"/>
        <v>1</v>
      </c>
      <c r="T220">
        <f t="shared" si="16"/>
        <v>0</v>
      </c>
      <c r="U220">
        <f t="shared" si="17"/>
        <v>0</v>
      </c>
      <c r="V220">
        <f t="shared" si="18"/>
        <v>1</v>
      </c>
      <c r="W220" t="str">
        <f t="shared" si="19"/>
        <v>Medium Risk</v>
      </c>
    </row>
    <row r="221" spans="1:23">
      <c r="A221" t="s">
        <v>387</v>
      </c>
      <c r="B221" t="s">
        <v>18</v>
      </c>
      <c r="C221" t="s">
        <v>19</v>
      </c>
      <c r="D221" t="s">
        <v>73</v>
      </c>
      <c r="E221" t="s">
        <v>47</v>
      </c>
      <c r="F221">
        <v>1</v>
      </c>
      <c r="G221">
        <v>79</v>
      </c>
      <c r="H221" t="s">
        <v>124</v>
      </c>
      <c r="I221" t="s">
        <v>23</v>
      </c>
      <c r="J221" s="1">
        <v>45195</v>
      </c>
      <c r="K221" t="s">
        <v>24</v>
      </c>
      <c r="L221" t="s">
        <v>388</v>
      </c>
      <c r="M221" t="s">
        <v>26</v>
      </c>
      <c r="N221">
        <v>9</v>
      </c>
      <c r="O221">
        <v>5</v>
      </c>
      <c r="P221">
        <v>44</v>
      </c>
      <c r="Q221" t="s">
        <v>27</v>
      </c>
      <c r="R221">
        <f>IF(tblSubscriptions[[#This Row],[churned]] = "Yes",1,0)</f>
        <v>1</v>
      </c>
      <c r="S221">
        <f t="shared" si="15"/>
        <v>1</v>
      </c>
      <c r="T221">
        <f t="shared" si="16"/>
        <v>1</v>
      </c>
      <c r="U221">
        <f t="shared" si="17"/>
        <v>0</v>
      </c>
      <c r="V221">
        <f t="shared" si="18"/>
        <v>2</v>
      </c>
      <c r="W221" t="str">
        <f t="shared" si="19"/>
        <v>High Risk</v>
      </c>
    </row>
    <row r="222" spans="1:23">
      <c r="A222" t="s">
        <v>389</v>
      </c>
      <c r="B222" t="s">
        <v>39</v>
      </c>
      <c r="C222" t="s">
        <v>29</v>
      </c>
      <c r="D222" t="s">
        <v>40</v>
      </c>
      <c r="E222" t="s">
        <v>47</v>
      </c>
      <c r="F222">
        <v>3</v>
      </c>
      <c r="G222">
        <v>220</v>
      </c>
      <c r="H222" t="s">
        <v>22</v>
      </c>
      <c r="I222" t="s">
        <v>23</v>
      </c>
      <c r="J222" s="1">
        <v>45836</v>
      </c>
      <c r="K222" t="s">
        <v>27</v>
      </c>
      <c r="L222" t="s">
        <v>31</v>
      </c>
      <c r="M222" t="s">
        <v>31</v>
      </c>
      <c r="N222">
        <v>7</v>
      </c>
      <c r="O222">
        <v>8</v>
      </c>
      <c r="P222">
        <v>43</v>
      </c>
      <c r="Q222" t="s">
        <v>27</v>
      </c>
      <c r="R222">
        <f>IF(tblSubscriptions[[#This Row],[churned]] = "Yes",1,0)</f>
        <v>0</v>
      </c>
      <c r="S222">
        <f t="shared" si="15"/>
        <v>1</v>
      </c>
      <c r="T222">
        <f t="shared" si="16"/>
        <v>0</v>
      </c>
      <c r="U222">
        <f t="shared" si="17"/>
        <v>0</v>
      </c>
      <c r="V222">
        <f t="shared" si="18"/>
        <v>1</v>
      </c>
      <c r="W222" t="str">
        <f t="shared" si="19"/>
        <v>Medium Risk</v>
      </c>
    </row>
    <row r="223" spans="1:23">
      <c r="A223" t="s">
        <v>390</v>
      </c>
      <c r="B223" t="s">
        <v>18</v>
      </c>
      <c r="C223" t="s">
        <v>19</v>
      </c>
      <c r="D223" t="s">
        <v>56</v>
      </c>
      <c r="E223" t="s">
        <v>21</v>
      </c>
      <c r="F223">
        <v>47</v>
      </c>
      <c r="G223">
        <v>624</v>
      </c>
      <c r="H223" t="s">
        <v>48</v>
      </c>
      <c r="I223" t="s">
        <v>42</v>
      </c>
      <c r="J223" s="1">
        <v>45568</v>
      </c>
      <c r="K223" t="s">
        <v>27</v>
      </c>
      <c r="L223" t="s">
        <v>31</v>
      </c>
      <c r="M223" t="s">
        <v>31</v>
      </c>
      <c r="N223">
        <v>6</v>
      </c>
      <c r="O223">
        <v>8</v>
      </c>
      <c r="P223">
        <v>63</v>
      </c>
      <c r="Q223" t="s">
        <v>24</v>
      </c>
      <c r="R223">
        <f>IF(tblSubscriptions[[#This Row],[churned]] = "Yes",1,0)</f>
        <v>0</v>
      </c>
      <c r="S223">
        <f t="shared" si="15"/>
        <v>0</v>
      </c>
      <c r="T223">
        <f t="shared" si="16"/>
        <v>0</v>
      </c>
      <c r="U223">
        <f t="shared" si="17"/>
        <v>0</v>
      </c>
      <c r="V223">
        <f t="shared" si="18"/>
        <v>0</v>
      </c>
      <c r="W223" t="str">
        <f t="shared" si="19"/>
        <v>Low Risk</v>
      </c>
    </row>
    <row r="224" spans="1:23">
      <c r="A224" t="s">
        <v>391</v>
      </c>
      <c r="B224" t="s">
        <v>33</v>
      </c>
      <c r="C224" t="s">
        <v>19</v>
      </c>
      <c r="D224" t="s">
        <v>44</v>
      </c>
      <c r="E224" t="s">
        <v>50</v>
      </c>
      <c r="F224">
        <v>68</v>
      </c>
      <c r="G224">
        <v>320</v>
      </c>
      <c r="H224" t="s">
        <v>70</v>
      </c>
      <c r="I224" t="s">
        <v>23</v>
      </c>
      <c r="J224" s="1">
        <v>45748</v>
      </c>
      <c r="K224" t="s">
        <v>24</v>
      </c>
      <c r="L224" t="s">
        <v>392</v>
      </c>
      <c r="M224" t="s">
        <v>58</v>
      </c>
      <c r="N224">
        <v>9</v>
      </c>
      <c r="O224">
        <v>4</v>
      </c>
      <c r="P224">
        <v>42</v>
      </c>
      <c r="Q224" t="s">
        <v>27</v>
      </c>
      <c r="R224">
        <f>IF(tblSubscriptions[[#This Row],[churned]] = "Yes",1,0)</f>
        <v>1</v>
      </c>
      <c r="S224">
        <f t="shared" si="15"/>
        <v>1</v>
      </c>
      <c r="T224">
        <f t="shared" si="16"/>
        <v>1</v>
      </c>
      <c r="U224">
        <f t="shared" si="17"/>
        <v>0</v>
      </c>
      <c r="V224">
        <f t="shared" si="18"/>
        <v>2</v>
      </c>
      <c r="W224" t="str">
        <f t="shared" si="19"/>
        <v>High Risk</v>
      </c>
    </row>
    <row r="225" spans="1:23">
      <c r="A225" t="s">
        <v>393</v>
      </c>
      <c r="B225" t="s">
        <v>87</v>
      </c>
      <c r="C225" t="s">
        <v>29</v>
      </c>
      <c r="D225" t="s">
        <v>60</v>
      </c>
      <c r="E225" t="s">
        <v>21</v>
      </c>
      <c r="F225">
        <v>72</v>
      </c>
      <c r="G225">
        <v>4941</v>
      </c>
      <c r="H225" t="s">
        <v>124</v>
      </c>
      <c r="I225" t="s">
        <v>84</v>
      </c>
      <c r="J225" s="1">
        <v>45689</v>
      </c>
      <c r="K225" t="s">
        <v>24</v>
      </c>
      <c r="L225" t="s">
        <v>394</v>
      </c>
      <c r="M225" t="s">
        <v>102</v>
      </c>
      <c r="N225">
        <v>0</v>
      </c>
      <c r="O225">
        <v>1</v>
      </c>
      <c r="P225">
        <v>11</v>
      </c>
      <c r="Q225" t="s">
        <v>27</v>
      </c>
      <c r="R225">
        <f>IF(tblSubscriptions[[#This Row],[churned]] = "Yes",1,0)</f>
        <v>1</v>
      </c>
      <c r="S225">
        <f t="shared" si="15"/>
        <v>1</v>
      </c>
      <c r="T225">
        <f t="shared" si="16"/>
        <v>1</v>
      </c>
      <c r="U225">
        <f t="shared" si="17"/>
        <v>0</v>
      </c>
      <c r="V225">
        <f t="shared" si="18"/>
        <v>2</v>
      </c>
      <c r="W225" t="str">
        <f t="shared" si="19"/>
        <v>High Risk</v>
      </c>
    </row>
    <row r="226" spans="1:23">
      <c r="A226" t="s">
        <v>395</v>
      </c>
      <c r="B226" t="s">
        <v>18</v>
      </c>
      <c r="C226" t="s">
        <v>29</v>
      </c>
      <c r="D226" t="s">
        <v>97</v>
      </c>
      <c r="E226" t="s">
        <v>41</v>
      </c>
      <c r="F226">
        <v>27</v>
      </c>
      <c r="G226">
        <v>329</v>
      </c>
      <c r="H226" t="s">
        <v>22</v>
      </c>
      <c r="I226" t="s">
        <v>23</v>
      </c>
      <c r="J226" s="1">
        <v>45978</v>
      </c>
      <c r="K226" t="s">
        <v>27</v>
      </c>
      <c r="L226" t="s">
        <v>31</v>
      </c>
      <c r="M226" t="s">
        <v>31</v>
      </c>
      <c r="N226">
        <v>7</v>
      </c>
      <c r="O226">
        <v>4</v>
      </c>
      <c r="P226">
        <v>39</v>
      </c>
      <c r="Q226" t="s">
        <v>27</v>
      </c>
      <c r="R226">
        <f>IF(tblSubscriptions[[#This Row],[churned]] = "Yes",1,0)</f>
        <v>0</v>
      </c>
      <c r="S226">
        <f t="shared" si="15"/>
        <v>1</v>
      </c>
      <c r="T226">
        <f t="shared" si="16"/>
        <v>1</v>
      </c>
      <c r="U226">
        <f t="shared" si="17"/>
        <v>0</v>
      </c>
      <c r="V226">
        <f t="shared" si="18"/>
        <v>2</v>
      </c>
      <c r="W226" t="str">
        <f t="shared" si="19"/>
        <v>High Risk</v>
      </c>
    </row>
    <row r="227" spans="1:23">
      <c r="A227" t="s">
        <v>396</v>
      </c>
      <c r="B227" t="s">
        <v>18</v>
      </c>
      <c r="C227" t="s">
        <v>19</v>
      </c>
      <c r="D227" t="s">
        <v>20</v>
      </c>
      <c r="E227" t="s">
        <v>21</v>
      </c>
      <c r="F227">
        <v>64</v>
      </c>
      <c r="G227">
        <v>826</v>
      </c>
      <c r="H227" t="s">
        <v>22</v>
      </c>
      <c r="I227" t="s">
        <v>42</v>
      </c>
      <c r="J227" s="1">
        <v>45765</v>
      </c>
      <c r="K227" t="s">
        <v>27</v>
      </c>
      <c r="L227" t="s">
        <v>31</v>
      </c>
      <c r="M227" t="s">
        <v>31</v>
      </c>
      <c r="N227">
        <v>10</v>
      </c>
      <c r="O227">
        <v>4</v>
      </c>
      <c r="P227">
        <v>87</v>
      </c>
      <c r="Q227" t="s">
        <v>27</v>
      </c>
      <c r="R227">
        <f>IF(tblSubscriptions[[#This Row],[churned]] = "Yes",1,0)</f>
        <v>0</v>
      </c>
      <c r="S227">
        <f t="shared" si="15"/>
        <v>0</v>
      </c>
      <c r="T227">
        <f t="shared" si="16"/>
        <v>1</v>
      </c>
      <c r="U227">
        <f t="shared" si="17"/>
        <v>0</v>
      </c>
      <c r="V227">
        <f t="shared" si="18"/>
        <v>1</v>
      </c>
      <c r="W227" t="str">
        <f t="shared" si="19"/>
        <v>Medium Risk</v>
      </c>
    </row>
    <row r="228" spans="1:23">
      <c r="A228" t="s">
        <v>397</v>
      </c>
      <c r="B228" t="s">
        <v>33</v>
      </c>
      <c r="C228" t="s">
        <v>19</v>
      </c>
      <c r="D228" t="s">
        <v>20</v>
      </c>
      <c r="E228" t="s">
        <v>47</v>
      </c>
      <c r="F228">
        <v>6</v>
      </c>
      <c r="G228">
        <v>51</v>
      </c>
      <c r="H228" t="s">
        <v>48</v>
      </c>
      <c r="I228" t="s">
        <v>42</v>
      </c>
      <c r="J228" s="1">
        <v>45545</v>
      </c>
      <c r="K228" t="s">
        <v>24</v>
      </c>
      <c r="L228" t="s">
        <v>398</v>
      </c>
      <c r="M228" t="s">
        <v>102</v>
      </c>
      <c r="N228">
        <v>5</v>
      </c>
      <c r="O228">
        <v>3</v>
      </c>
      <c r="P228">
        <v>39</v>
      </c>
      <c r="Q228" t="s">
        <v>27</v>
      </c>
      <c r="R228">
        <f>IF(tblSubscriptions[[#This Row],[churned]] = "Yes",1,0)</f>
        <v>1</v>
      </c>
      <c r="S228">
        <f t="shared" si="15"/>
        <v>1</v>
      </c>
      <c r="T228">
        <f t="shared" si="16"/>
        <v>1</v>
      </c>
      <c r="U228">
        <f t="shared" si="17"/>
        <v>0</v>
      </c>
      <c r="V228">
        <f t="shared" si="18"/>
        <v>2</v>
      </c>
      <c r="W228" t="str">
        <f t="shared" si="19"/>
        <v>High Risk</v>
      </c>
    </row>
    <row r="229" spans="1:23">
      <c r="A229" t="s">
        <v>399</v>
      </c>
      <c r="B229" t="s">
        <v>33</v>
      </c>
      <c r="C229" t="s">
        <v>29</v>
      </c>
      <c r="D229" t="s">
        <v>97</v>
      </c>
      <c r="E229" t="s">
        <v>41</v>
      </c>
      <c r="F229">
        <v>10</v>
      </c>
      <c r="G229">
        <v>58</v>
      </c>
      <c r="H229" t="s">
        <v>22</v>
      </c>
      <c r="I229" t="s">
        <v>42</v>
      </c>
      <c r="J229" s="1">
        <v>45303</v>
      </c>
      <c r="K229" t="s">
        <v>27</v>
      </c>
      <c r="L229" t="s">
        <v>31</v>
      </c>
      <c r="M229" t="s">
        <v>31</v>
      </c>
      <c r="N229">
        <v>8</v>
      </c>
      <c r="O229">
        <v>6</v>
      </c>
      <c r="P229">
        <v>46</v>
      </c>
      <c r="Q229" t="s">
        <v>24</v>
      </c>
      <c r="R229">
        <f>IF(tblSubscriptions[[#This Row],[churned]] = "Yes",1,0)</f>
        <v>0</v>
      </c>
      <c r="S229">
        <f t="shared" si="15"/>
        <v>1</v>
      </c>
      <c r="T229">
        <f t="shared" si="16"/>
        <v>1</v>
      </c>
      <c r="U229">
        <f t="shared" si="17"/>
        <v>0</v>
      </c>
      <c r="V229">
        <f t="shared" si="18"/>
        <v>2</v>
      </c>
      <c r="W229" t="str">
        <f t="shared" si="19"/>
        <v>High Risk</v>
      </c>
    </row>
    <row r="230" spans="1:23">
      <c r="A230" t="s">
        <v>400</v>
      </c>
      <c r="B230" t="s">
        <v>87</v>
      </c>
      <c r="C230" t="s">
        <v>19</v>
      </c>
      <c r="D230" t="s">
        <v>44</v>
      </c>
      <c r="E230" t="s">
        <v>50</v>
      </c>
      <c r="F230">
        <v>118</v>
      </c>
      <c r="G230">
        <v>9256</v>
      </c>
      <c r="H230" t="s">
        <v>22</v>
      </c>
      <c r="I230" t="s">
        <v>42</v>
      </c>
      <c r="J230" s="1">
        <v>45388</v>
      </c>
      <c r="K230" t="s">
        <v>27</v>
      </c>
      <c r="L230" t="s">
        <v>31</v>
      </c>
      <c r="M230" t="s">
        <v>31</v>
      </c>
      <c r="N230">
        <v>0</v>
      </c>
      <c r="O230">
        <v>10</v>
      </c>
      <c r="P230">
        <v>85</v>
      </c>
      <c r="Q230" t="s">
        <v>27</v>
      </c>
      <c r="R230">
        <f>IF(tblSubscriptions[[#This Row],[churned]] = "Yes",1,0)</f>
        <v>0</v>
      </c>
      <c r="S230">
        <f t="shared" si="15"/>
        <v>0</v>
      </c>
      <c r="T230">
        <f t="shared" si="16"/>
        <v>0</v>
      </c>
      <c r="U230">
        <f t="shared" si="17"/>
        <v>0</v>
      </c>
      <c r="V230">
        <f t="shared" si="18"/>
        <v>0</v>
      </c>
      <c r="W230" t="str">
        <f t="shared" si="19"/>
        <v>Low Risk</v>
      </c>
    </row>
    <row r="231" spans="1:23">
      <c r="A231" t="s">
        <v>401</v>
      </c>
      <c r="B231" t="s">
        <v>33</v>
      </c>
      <c r="C231" t="s">
        <v>19</v>
      </c>
      <c r="D231" t="s">
        <v>34</v>
      </c>
      <c r="E231" t="s">
        <v>41</v>
      </c>
      <c r="F231">
        <v>24</v>
      </c>
      <c r="G231">
        <v>129</v>
      </c>
      <c r="H231" t="s">
        <v>48</v>
      </c>
      <c r="I231" t="s">
        <v>23</v>
      </c>
      <c r="J231" s="1">
        <v>45087</v>
      </c>
      <c r="K231" t="s">
        <v>24</v>
      </c>
      <c r="L231" t="s">
        <v>402</v>
      </c>
      <c r="M231" t="s">
        <v>58</v>
      </c>
      <c r="N231">
        <v>13</v>
      </c>
      <c r="O231">
        <v>1</v>
      </c>
      <c r="P231">
        <v>31</v>
      </c>
      <c r="Q231" t="s">
        <v>27</v>
      </c>
      <c r="R231">
        <f>IF(tblSubscriptions[[#This Row],[churned]] = "Yes",1,0)</f>
        <v>1</v>
      </c>
      <c r="S231">
        <f t="shared" si="15"/>
        <v>1</v>
      </c>
      <c r="T231">
        <f t="shared" si="16"/>
        <v>1</v>
      </c>
      <c r="U231">
        <f t="shared" si="17"/>
        <v>1</v>
      </c>
      <c r="V231">
        <f t="shared" si="18"/>
        <v>3</v>
      </c>
      <c r="W231" t="str">
        <f t="shared" si="19"/>
        <v>High Risk</v>
      </c>
    </row>
    <row r="232" spans="1:23">
      <c r="A232" t="s">
        <v>403</v>
      </c>
      <c r="B232" t="s">
        <v>33</v>
      </c>
      <c r="C232" t="s">
        <v>19</v>
      </c>
      <c r="D232" t="s">
        <v>73</v>
      </c>
      <c r="E232" t="s">
        <v>21</v>
      </c>
      <c r="F232">
        <v>33</v>
      </c>
      <c r="G232">
        <v>168</v>
      </c>
      <c r="H232" t="s">
        <v>30</v>
      </c>
      <c r="I232" t="s">
        <v>23</v>
      </c>
      <c r="J232" s="1">
        <v>45246</v>
      </c>
      <c r="K232" t="s">
        <v>27</v>
      </c>
      <c r="L232" t="s">
        <v>31</v>
      </c>
      <c r="M232" t="s">
        <v>31</v>
      </c>
      <c r="N232">
        <v>4</v>
      </c>
      <c r="O232">
        <v>9</v>
      </c>
      <c r="P232">
        <v>52</v>
      </c>
      <c r="Q232" t="s">
        <v>27</v>
      </c>
      <c r="R232">
        <f>IF(tblSubscriptions[[#This Row],[churned]] = "Yes",1,0)</f>
        <v>0</v>
      </c>
      <c r="S232">
        <f t="shared" si="15"/>
        <v>0</v>
      </c>
      <c r="T232">
        <f t="shared" si="16"/>
        <v>0</v>
      </c>
      <c r="U232">
        <f t="shared" si="17"/>
        <v>0</v>
      </c>
      <c r="V232">
        <f t="shared" si="18"/>
        <v>0</v>
      </c>
      <c r="W232" t="str">
        <f t="shared" si="19"/>
        <v>Low Risk</v>
      </c>
    </row>
    <row r="233" spans="1:23">
      <c r="A233" t="s">
        <v>404</v>
      </c>
      <c r="B233" t="s">
        <v>18</v>
      </c>
      <c r="C233" t="s">
        <v>19</v>
      </c>
      <c r="D233" t="s">
        <v>20</v>
      </c>
      <c r="E233" t="s">
        <v>21</v>
      </c>
      <c r="F233">
        <v>44</v>
      </c>
      <c r="G233">
        <v>589</v>
      </c>
      <c r="H233" t="s">
        <v>22</v>
      </c>
      <c r="I233" t="s">
        <v>42</v>
      </c>
      <c r="J233" s="1">
        <v>45817</v>
      </c>
      <c r="K233" t="s">
        <v>27</v>
      </c>
      <c r="L233" t="s">
        <v>31</v>
      </c>
      <c r="M233" t="s">
        <v>31</v>
      </c>
      <c r="N233">
        <v>9</v>
      </c>
      <c r="O233">
        <v>5</v>
      </c>
      <c r="P233">
        <v>71</v>
      </c>
      <c r="Q233" t="s">
        <v>27</v>
      </c>
      <c r="R233">
        <f>IF(tblSubscriptions[[#This Row],[churned]] = "Yes",1,0)</f>
        <v>0</v>
      </c>
      <c r="S233">
        <f t="shared" si="15"/>
        <v>0</v>
      </c>
      <c r="T233">
        <f t="shared" si="16"/>
        <v>1</v>
      </c>
      <c r="U233">
        <f t="shared" si="17"/>
        <v>0</v>
      </c>
      <c r="V233">
        <f t="shared" si="18"/>
        <v>1</v>
      </c>
      <c r="W233" t="str">
        <f t="shared" si="19"/>
        <v>Medium Risk</v>
      </c>
    </row>
    <row r="234" spans="1:23">
      <c r="A234" t="s">
        <v>405</v>
      </c>
      <c r="B234" t="s">
        <v>18</v>
      </c>
      <c r="C234" t="s">
        <v>19</v>
      </c>
      <c r="D234" t="s">
        <v>40</v>
      </c>
      <c r="E234" t="s">
        <v>50</v>
      </c>
      <c r="F234">
        <v>112</v>
      </c>
      <c r="G234">
        <v>1394</v>
      </c>
      <c r="H234" t="s">
        <v>36</v>
      </c>
      <c r="I234" t="s">
        <v>23</v>
      </c>
      <c r="J234" s="1">
        <v>45695</v>
      </c>
      <c r="K234" t="s">
        <v>27</v>
      </c>
      <c r="L234" t="s">
        <v>31</v>
      </c>
      <c r="M234" t="s">
        <v>31</v>
      </c>
      <c r="N234">
        <v>0</v>
      </c>
      <c r="O234">
        <v>8</v>
      </c>
      <c r="P234">
        <v>17</v>
      </c>
      <c r="Q234" t="s">
        <v>27</v>
      </c>
      <c r="R234">
        <f>IF(tblSubscriptions[[#This Row],[churned]] = "Yes",1,0)</f>
        <v>0</v>
      </c>
      <c r="S234">
        <f t="shared" si="15"/>
        <v>1</v>
      </c>
      <c r="T234">
        <f t="shared" si="16"/>
        <v>0</v>
      </c>
      <c r="U234">
        <f t="shared" si="17"/>
        <v>0</v>
      </c>
      <c r="V234">
        <f t="shared" si="18"/>
        <v>1</v>
      </c>
      <c r="W234" t="str">
        <f t="shared" si="19"/>
        <v>Medium Risk</v>
      </c>
    </row>
    <row r="235" spans="1:23">
      <c r="A235" t="s">
        <v>406</v>
      </c>
      <c r="B235" t="s">
        <v>39</v>
      </c>
      <c r="C235" t="s">
        <v>19</v>
      </c>
      <c r="D235" t="s">
        <v>97</v>
      </c>
      <c r="E235" t="s">
        <v>21</v>
      </c>
      <c r="F235">
        <v>55</v>
      </c>
      <c r="G235">
        <v>1811</v>
      </c>
      <c r="H235" t="s">
        <v>70</v>
      </c>
      <c r="I235" t="s">
        <v>23</v>
      </c>
      <c r="J235" s="1">
        <v>45385</v>
      </c>
      <c r="K235" t="s">
        <v>24</v>
      </c>
      <c r="L235" t="s">
        <v>407</v>
      </c>
      <c r="M235" t="s">
        <v>52</v>
      </c>
      <c r="N235">
        <v>2</v>
      </c>
      <c r="O235">
        <v>2</v>
      </c>
      <c r="P235">
        <v>15</v>
      </c>
      <c r="Q235" t="s">
        <v>27</v>
      </c>
      <c r="R235">
        <f>IF(tblSubscriptions[[#This Row],[churned]] = "Yes",1,0)</f>
        <v>1</v>
      </c>
      <c r="S235">
        <f t="shared" si="15"/>
        <v>1</v>
      </c>
      <c r="T235">
        <f t="shared" si="16"/>
        <v>1</v>
      </c>
      <c r="U235">
        <f t="shared" si="17"/>
        <v>0</v>
      </c>
      <c r="V235">
        <f t="shared" si="18"/>
        <v>2</v>
      </c>
      <c r="W235" t="str">
        <f t="shared" si="19"/>
        <v>High Risk</v>
      </c>
    </row>
    <row r="236" spans="1:23">
      <c r="A236" t="s">
        <v>408</v>
      </c>
      <c r="B236" t="s">
        <v>39</v>
      </c>
      <c r="C236" t="s">
        <v>29</v>
      </c>
      <c r="D236" t="s">
        <v>97</v>
      </c>
      <c r="E236" t="s">
        <v>41</v>
      </c>
      <c r="F236">
        <v>15</v>
      </c>
      <c r="G236">
        <v>524</v>
      </c>
      <c r="H236" t="s">
        <v>70</v>
      </c>
      <c r="I236" t="s">
        <v>23</v>
      </c>
      <c r="J236" s="1">
        <v>45421</v>
      </c>
      <c r="K236" t="s">
        <v>27</v>
      </c>
      <c r="L236" t="s">
        <v>31</v>
      </c>
      <c r="M236" t="s">
        <v>31</v>
      </c>
      <c r="N236">
        <v>6</v>
      </c>
      <c r="O236">
        <v>9</v>
      </c>
      <c r="P236">
        <v>23</v>
      </c>
      <c r="Q236" t="s">
        <v>24</v>
      </c>
      <c r="R236">
        <f>IF(tblSubscriptions[[#This Row],[churned]] = "Yes",1,0)</f>
        <v>0</v>
      </c>
      <c r="S236">
        <f t="shared" si="15"/>
        <v>1</v>
      </c>
      <c r="T236">
        <f t="shared" si="16"/>
        <v>0</v>
      </c>
      <c r="U236">
        <f t="shared" si="17"/>
        <v>0</v>
      </c>
      <c r="V236">
        <f t="shared" si="18"/>
        <v>1</v>
      </c>
      <c r="W236" t="str">
        <f t="shared" si="19"/>
        <v>Medium Risk</v>
      </c>
    </row>
    <row r="237" spans="1:23">
      <c r="A237" t="s">
        <v>409</v>
      </c>
      <c r="B237" t="s">
        <v>33</v>
      </c>
      <c r="C237" t="s">
        <v>19</v>
      </c>
      <c r="D237" t="s">
        <v>56</v>
      </c>
      <c r="E237" t="s">
        <v>50</v>
      </c>
      <c r="F237">
        <v>45</v>
      </c>
      <c r="G237">
        <v>220</v>
      </c>
      <c r="H237" t="s">
        <v>70</v>
      </c>
      <c r="I237" t="s">
        <v>42</v>
      </c>
      <c r="J237" s="1">
        <v>45117</v>
      </c>
      <c r="K237" t="s">
        <v>24</v>
      </c>
      <c r="L237" t="s">
        <v>410</v>
      </c>
      <c r="M237" t="s">
        <v>66</v>
      </c>
      <c r="N237">
        <v>7</v>
      </c>
      <c r="O237">
        <v>3</v>
      </c>
      <c r="P237">
        <v>49</v>
      </c>
      <c r="Q237" t="s">
        <v>27</v>
      </c>
      <c r="R237">
        <f>IF(tblSubscriptions[[#This Row],[churned]] = "Yes",1,0)</f>
        <v>1</v>
      </c>
      <c r="S237">
        <f t="shared" si="15"/>
        <v>1</v>
      </c>
      <c r="T237">
        <f t="shared" si="16"/>
        <v>1</v>
      </c>
      <c r="U237">
        <f t="shared" si="17"/>
        <v>0</v>
      </c>
      <c r="V237">
        <f t="shared" si="18"/>
        <v>2</v>
      </c>
      <c r="W237" t="str">
        <f t="shared" si="19"/>
        <v>High Risk</v>
      </c>
    </row>
    <row r="238" spans="1:23">
      <c r="A238" t="s">
        <v>411</v>
      </c>
      <c r="B238" t="s">
        <v>18</v>
      </c>
      <c r="C238" t="s">
        <v>19</v>
      </c>
      <c r="D238" t="s">
        <v>97</v>
      </c>
      <c r="E238" t="s">
        <v>35</v>
      </c>
      <c r="F238">
        <v>109</v>
      </c>
      <c r="G238">
        <v>1359</v>
      </c>
      <c r="H238" t="s">
        <v>30</v>
      </c>
      <c r="I238" t="s">
        <v>42</v>
      </c>
      <c r="J238" s="1">
        <v>44788</v>
      </c>
      <c r="K238" t="s">
        <v>27</v>
      </c>
      <c r="L238" t="s">
        <v>31</v>
      </c>
      <c r="M238" t="s">
        <v>31</v>
      </c>
      <c r="N238">
        <v>0</v>
      </c>
      <c r="O238">
        <v>3</v>
      </c>
      <c r="P238">
        <v>30</v>
      </c>
      <c r="Q238" t="s">
        <v>27</v>
      </c>
      <c r="R238">
        <f>IF(tblSubscriptions[[#This Row],[churned]] = "Yes",1,0)</f>
        <v>0</v>
      </c>
      <c r="S238">
        <f t="shared" si="15"/>
        <v>1</v>
      </c>
      <c r="T238">
        <f t="shared" si="16"/>
        <v>1</v>
      </c>
      <c r="U238">
        <f t="shared" si="17"/>
        <v>0</v>
      </c>
      <c r="V238">
        <f t="shared" si="18"/>
        <v>2</v>
      </c>
      <c r="W238" t="str">
        <f t="shared" si="19"/>
        <v>High Risk</v>
      </c>
    </row>
    <row r="239" spans="1:23">
      <c r="A239" t="s">
        <v>412</v>
      </c>
      <c r="B239" t="s">
        <v>39</v>
      </c>
      <c r="C239" t="s">
        <v>19</v>
      </c>
      <c r="D239" t="s">
        <v>40</v>
      </c>
      <c r="E239" t="s">
        <v>21</v>
      </c>
      <c r="F239">
        <v>29</v>
      </c>
      <c r="G239">
        <v>1035</v>
      </c>
      <c r="H239" t="s">
        <v>48</v>
      </c>
      <c r="I239" t="s">
        <v>23</v>
      </c>
      <c r="J239" s="1">
        <v>45045</v>
      </c>
      <c r="K239" t="s">
        <v>27</v>
      </c>
      <c r="L239" t="s">
        <v>31</v>
      </c>
      <c r="M239" t="s">
        <v>31</v>
      </c>
      <c r="N239">
        <v>12</v>
      </c>
      <c r="O239">
        <v>1</v>
      </c>
      <c r="P239">
        <v>86</v>
      </c>
      <c r="Q239" t="s">
        <v>27</v>
      </c>
      <c r="R239">
        <f>IF(tblSubscriptions[[#This Row],[churned]] = "Yes",1,0)</f>
        <v>0</v>
      </c>
      <c r="S239">
        <f t="shared" si="15"/>
        <v>0</v>
      </c>
      <c r="T239">
        <f t="shared" si="16"/>
        <v>1</v>
      </c>
      <c r="U239">
        <f t="shared" si="17"/>
        <v>1</v>
      </c>
      <c r="V239">
        <f t="shared" si="18"/>
        <v>2</v>
      </c>
      <c r="W239" t="str">
        <f t="shared" si="19"/>
        <v>High Risk</v>
      </c>
    </row>
    <row r="240" spans="1:23">
      <c r="A240" t="s">
        <v>413</v>
      </c>
      <c r="B240" t="s">
        <v>39</v>
      </c>
      <c r="C240" t="s">
        <v>19</v>
      </c>
      <c r="D240" t="s">
        <v>56</v>
      </c>
      <c r="E240" t="s">
        <v>41</v>
      </c>
      <c r="F240">
        <v>34</v>
      </c>
      <c r="G240">
        <v>1184</v>
      </c>
      <c r="H240" t="s">
        <v>36</v>
      </c>
      <c r="I240" t="s">
        <v>84</v>
      </c>
      <c r="J240" s="1">
        <v>44667</v>
      </c>
      <c r="K240" t="s">
        <v>24</v>
      </c>
      <c r="L240" t="s">
        <v>414</v>
      </c>
      <c r="M240" t="s">
        <v>102</v>
      </c>
      <c r="N240">
        <v>8</v>
      </c>
      <c r="O240">
        <v>3</v>
      </c>
      <c r="P240">
        <v>24</v>
      </c>
      <c r="Q240" t="s">
        <v>27</v>
      </c>
      <c r="R240">
        <f>IF(tblSubscriptions[[#This Row],[churned]] = "Yes",1,0)</f>
        <v>1</v>
      </c>
      <c r="S240">
        <f t="shared" si="15"/>
        <v>1</v>
      </c>
      <c r="T240">
        <f t="shared" si="16"/>
        <v>1</v>
      </c>
      <c r="U240">
        <f t="shared" si="17"/>
        <v>0</v>
      </c>
      <c r="V240">
        <f t="shared" si="18"/>
        <v>2</v>
      </c>
      <c r="W240" t="str">
        <f t="shared" si="19"/>
        <v>High Risk</v>
      </c>
    </row>
    <row r="241" spans="1:23">
      <c r="A241" t="s">
        <v>415</v>
      </c>
      <c r="B241" t="s">
        <v>33</v>
      </c>
      <c r="C241" t="s">
        <v>29</v>
      </c>
      <c r="D241" t="s">
        <v>83</v>
      </c>
      <c r="E241" t="s">
        <v>47</v>
      </c>
      <c r="F241">
        <v>4</v>
      </c>
      <c r="G241">
        <v>36</v>
      </c>
      <c r="H241" t="s">
        <v>124</v>
      </c>
      <c r="I241" t="s">
        <v>64</v>
      </c>
      <c r="J241" s="1">
        <v>45703</v>
      </c>
      <c r="K241" t="s">
        <v>27</v>
      </c>
      <c r="L241" t="s">
        <v>31</v>
      </c>
      <c r="M241" t="s">
        <v>31</v>
      </c>
      <c r="N241">
        <v>6</v>
      </c>
      <c r="O241">
        <v>2</v>
      </c>
      <c r="P241">
        <v>23</v>
      </c>
      <c r="Q241" t="s">
        <v>27</v>
      </c>
      <c r="R241">
        <f>IF(tblSubscriptions[[#This Row],[churned]] = "Yes",1,0)</f>
        <v>0</v>
      </c>
      <c r="S241">
        <f t="shared" si="15"/>
        <v>1</v>
      </c>
      <c r="T241">
        <f t="shared" si="16"/>
        <v>1</v>
      </c>
      <c r="U241">
        <f t="shared" si="17"/>
        <v>0</v>
      </c>
      <c r="V241">
        <f t="shared" si="18"/>
        <v>2</v>
      </c>
      <c r="W241" t="str">
        <f t="shared" si="19"/>
        <v>High Risk</v>
      </c>
    </row>
    <row r="242" spans="1:23">
      <c r="A242" t="s">
        <v>416</v>
      </c>
      <c r="B242" t="s">
        <v>33</v>
      </c>
      <c r="C242" t="s">
        <v>19</v>
      </c>
      <c r="D242" t="s">
        <v>46</v>
      </c>
      <c r="E242" t="s">
        <v>21</v>
      </c>
      <c r="F242">
        <v>66</v>
      </c>
      <c r="G242">
        <v>312</v>
      </c>
      <c r="H242" t="s">
        <v>48</v>
      </c>
      <c r="I242" t="s">
        <v>64</v>
      </c>
      <c r="J242" s="1">
        <v>45178</v>
      </c>
      <c r="K242" t="s">
        <v>24</v>
      </c>
      <c r="L242" t="s">
        <v>417</v>
      </c>
      <c r="M242" t="s">
        <v>62</v>
      </c>
      <c r="N242">
        <v>1</v>
      </c>
      <c r="O242">
        <v>4</v>
      </c>
      <c r="P242">
        <v>15</v>
      </c>
      <c r="Q242" t="s">
        <v>27</v>
      </c>
      <c r="R242">
        <f>IF(tblSubscriptions[[#This Row],[churned]] = "Yes",1,0)</f>
        <v>1</v>
      </c>
      <c r="S242">
        <f t="shared" si="15"/>
        <v>1</v>
      </c>
      <c r="T242">
        <f t="shared" si="16"/>
        <v>1</v>
      </c>
      <c r="U242">
        <f t="shared" si="17"/>
        <v>0</v>
      </c>
      <c r="V242">
        <f t="shared" si="18"/>
        <v>2</v>
      </c>
      <c r="W242" t="str">
        <f t="shared" si="19"/>
        <v>High Risk</v>
      </c>
    </row>
    <row r="243" spans="1:23">
      <c r="A243" t="s">
        <v>418</v>
      </c>
      <c r="B243" t="s">
        <v>39</v>
      </c>
      <c r="C243" t="s">
        <v>29</v>
      </c>
      <c r="D243" t="s">
        <v>44</v>
      </c>
      <c r="E243" t="s">
        <v>41</v>
      </c>
      <c r="F243">
        <v>10</v>
      </c>
      <c r="G243">
        <v>398</v>
      </c>
      <c r="H243" t="s">
        <v>70</v>
      </c>
      <c r="I243" t="s">
        <v>64</v>
      </c>
      <c r="J243" s="1">
        <v>45232</v>
      </c>
      <c r="K243" t="s">
        <v>27</v>
      </c>
      <c r="L243" t="s">
        <v>31</v>
      </c>
      <c r="M243" t="s">
        <v>31</v>
      </c>
      <c r="N243">
        <v>1</v>
      </c>
      <c r="O243">
        <v>8</v>
      </c>
      <c r="P243">
        <v>38</v>
      </c>
      <c r="Q243" t="s">
        <v>27</v>
      </c>
      <c r="R243">
        <f>IF(tblSubscriptions[[#This Row],[churned]] = "Yes",1,0)</f>
        <v>0</v>
      </c>
      <c r="S243">
        <f t="shared" si="15"/>
        <v>1</v>
      </c>
      <c r="T243">
        <f t="shared" si="16"/>
        <v>0</v>
      </c>
      <c r="U243">
        <f t="shared" si="17"/>
        <v>0</v>
      </c>
      <c r="V243">
        <f t="shared" si="18"/>
        <v>1</v>
      </c>
      <c r="W243" t="str">
        <f t="shared" si="19"/>
        <v>Medium Risk</v>
      </c>
    </row>
    <row r="244" spans="1:23">
      <c r="A244" t="s">
        <v>419</v>
      </c>
      <c r="B244" t="s">
        <v>87</v>
      </c>
      <c r="C244" t="s">
        <v>19</v>
      </c>
      <c r="D244" t="s">
        <v>20</v>
      </c>
      <c r="E244" t="s">
        <v>50</v>
      </c>
      <c r="F244">
        <v>122</v>
      </c>
      <c r="G244">
        <v>9556</v>
      </c>
      <c r="H244" t="s">
        <v>22</v>
      </c>
      <c r="I244" t="s">
        <v>23</v>
      </c>
      <c r="J244" s="1">
        <v>45572</v>
      </c>
      <c r="K244" t="s">
        <v>27</v>
      </c>
      <c r="L244" t="s">
        <v>31</v>
      </c>
      <c r="M244" t="s">
        <v>31</v>
      </c>
      <c r="N244">
        <v>4</v>
      </c>
      <c r="O244">
        <v>7</v>
      </c>
      <c r="P244">
        <v>94</v>
      </c>
      <c r="Q244" t="s">
        <v>24</v>
      </c>
      <c r="R244">
        <f>IF(tblSubscriptions[[#This Row],[churned]] = "Yes",1,0)</f>
        <v>0</v>
      </c>
      <c r="S244">
        <f t="shared" si="15"/>
        <v>0</v>
      </c>
      <c r="T244">
        <f t="shared" si="16"/>
        <v>0</v>
      </c>
      <c r="U244">
        <f t="shared" si="17"/>
        <v>0</v>
      </c>
      <c r="V244">
        <f t="shared" si="18"/>
        <v>0</v>
      </c>
      <c r="W244" t="str">
        <f t="shared" si="19"/>
        <v>Low Risk</v>
      </c>
    </row>
    <row r="245" spans="1:23">
      <c r="A245" t="s">
        <v>420</v>
      </c>
      <c r="B245" t="s">
        <v>33</v>
      </c>
      <c r="C245" t="s">
        <v>19</v>
      </c>
      <c r="D245" t="s">
        <v>46</v>
      </c>
      <c r="E245" t="s">
        <v>21</v>
      </c>
      <c r="F245">
        <v>23</v>
      </c>
      <c r="G245">
        <v>125</v>
      </c>
      <c r="H245" t="s">
        <v>70</v>
      </c>
      <c r="I245" t="s">
        <v>42</v>
      </c>
      <c r="J245" s="1">
        <v>45768</v>
      </c>
      <c r="K245" t="s">
        <v>24</v>
      </c>
      <c r="L245" t="s">
        <v>421</v>
      </c>
      <c r="M245" t="s">
        <v>52</v>
      </c>
      <c r="N245">
        <v>7</v>
      </c>
      <c r="O245">
        <v>6</v>
      </c>
      <c r="P245">
        <v>18</v>
      </c>
      <c r="Q245" t="s">
        <v>27</v>
      </c>
      <c r="R245">
        <f>IF(tblSubscriptions[[#This Row],[churned]] = "Yes",1,0)</f>
        <v>1</v>
      </c>
      <c r="S245">
        <f t="shared" si="15"/>
        <v>1</v>
      </c>
      <c r="T245">
        <f t="shared" si="16"/>
        <v>1</v>
      </c>
      <c r="U245">
        <f t="shared" si="17"/>
        <v>0</v>
      </c>
      <c r="V245">
        <f t="shared" si="18"/>
        <v>2</v>
      </c>
      <c r="W245" t="str">
        <f t="shared" si="19"/>
        <v>High Risk</v>
      </c>
    </row>
    <row r="246" spans="1:23">
      <c r="A246" t="s">
        <v>422</v>
      </c>
      <c r="B246" t="s">
        <v>39</v>
      </c>
      <c r="C246" t="s">
        <v>29</v>
      </c>
      <c r="D246" t="s">
        <v>44</v>
      </c>
      <c r="E246" t="s">
        <v>47</v>
      </c>
      <c r="F246">
        <v>1</v>
      </c>
      <c r="G246">
        <v>169</v>
      </c>
      <c r="H246" t="s">
        <v>22</v>
      </c>
      <c r="I246" t="s">
        <v>23</v>
      </c>
      <c r="J246" s="1">
        <v>45989</v>
      </c>
      <c r="K246" t="s">
        <v>27</v>
      </c>
      <c r="L246" t="s">
        <v>31</v>
      </c>
      <c r="M246" t="s">
        <v>31</v>
      </c>
      <c r="N246">
        <v>5</v>
      </c>
      <c r="O246">
        <v>3</v>
      </c>
      <c r="P246">
        <v>39</v>
      </c>
      <c r="Q246" t="s">
        <v>27</v>
      </c>
      <c r="R246">
        <f>IF(tblSubscriptions[[#This Row],[churned]] = "Yes",1,0)</f>
        <v>0</v>
      </c>
      <c r="S246">
        <f t="shared" si="15"/>
        <v>1</v>
      </c>
      <c r="T246">
        <f t="shared" si="16"/>
        <v>1</v>
      </c>
      <c r="U246">
        <f t="shared" si="17"/>
        <v>0</v>
      </c>
      <c r="V246">
        <f t="shared" si="18"/>
        <v>2</v>
      </c>
      <c r="W246" t="str">
        <f t="shared" si="19"/>
        <v>High Risk</v>
      </c>
    </row>
    <row r="247" spans="1:23">
      <c r="A247" t="s">
        <v>423</v>
      </c>
      <c r="B247" t="s">
        <v>18</v>
      </c>
      <c r="C247" t="s">
        <v>19</v>
      </c>
      <c r="D247" t="s">
        <v>97</v>
      </c>
      <c r="E247" t="s">
        <v>47</v>
      </c>
      <c r="F247">
        <v>6</v>
      </c>
      <c r="G247">
        <v>138</v>
      </c>
      <c r="H247" t="s">
        <v>48</v>
      </c>
      <c r="I247" t="s">
        <v>42</v>
      </c>
      <c r="J247" s="1">
        <v>45397</v>
      </c>
      <c r="K247" t="s">
        <v>24</v>
      </c>
      <c r="L247" t="s">
        <v>424</v>
      </c>
      <c r="M247" t="s">
        <v>102</v>
      </c>
      <c r="N247">
        <v>5</v>
      </c>
      <c r="O247">
        <v>4</v>
      </c>
      <c r="P247">
        <v>14</v>
      </c>
      <c r="Q247" t="s">
        <v>27</v>
      </c>
      <c r="R247">
        <f>IF(tblSubscriptions[[#This Row],[churned]] = "Yes",1,0)</f>
        <v>1</v>
      </c>
      <c r="S247">
        <f t="shared" si="15"/>
        <v>1</v>
      </c>
      <c r="T247">
        <f t="shared" si="16"/>
        <v>1</v>
      </c>
      <c r="U247">
        <f t="shared" si="17"/>
        <v>0</v>
      </c>
      <c r="V247">
        <f t="shared" si="18"/>
        <v>2</v>
      </c>
      <c r="W247" t="str">
        <f t="shared" si="19"/>
        <v>High Risk</v>
      </c>
    </row>
    <row r="248" spans="1:23">
      <c r="A248" t="s">
        <v>425</v>
      </c>
      <c r="B248" t="s">
        <v>39</v>
      </c>
      <c r="C248" t="s">
        <v>29</v>
      </c>
      <c r="D248" t="s">
        <v>56</v>
      </c>
      <c r="E248" t="s">
        <v>35</v>
      </c>
      <c r="F248">
        <v>251</v>
      </c>
      <c r="G248">
        <v>6512</v>
      </c>
      <c r="H248" t="s">
        <v>124</v>
      </c>
      <c r="I248" t="s">
        <v>84</v>
      </c>
      <c r="J248" s="1">
        <v>45968</v>
      </c>
      <c r="K248" t="s">
        <v>27</v>
      </c>
      <c r="L248" t="s">
        <v>31</v>
      </c>
      <c r="M248" t="s">
        <v>31</v>
      </c>
      <c r="N248">
        <v>10</v>
      </c>
      <c r="O248">
        <v>6</v>
      </c>
      <c r="P248">
        <v>38</v>
      </c>
      <c r="Q248" t="s">
        <v>27</v>
      </c>
      <c r="R248">
        <f>IF(tblSubscriptions[[#This Row],[churned]] = "Yes",1,0)</f>
        <v>0</v>
      </c>
      <c r="S248">
        <f t="shared" si="15"/>
        <v>1</v>
      </c>
      <c r="T248">
        <f t="shared" si="16"/>
        <v>1</v>
      </c>
      <c r="U248">
        <f t="shared" si="17"/>
        <v>0</v>
      </c>
      <c r="V248">
        <f t="shared" si="18"/>
        <v>2</v>
      </c>
      <c r="W248" t="str">
        <f t="shared" si="19"/>
        <v>High Risk</v>
      </c>
    </row>
    <row r="249" spans="1:23">
      <c r="A249" t="s">
        <v>426</v>
      </c>
      <c r="B249" t="s">
        <v>33</v>
      </c>
      <c r="C249" t="s">
        <v>29</v>
      </c>
      <c r="D249" t="s">
        <v>60</v>
      </c>
      <c r="E249" t="s">
        <v>50</v>
      </c>
      <c r="F249">
        <v>111</v>
      </c>
      <c r="G249">
        <v>431</v>
      </c>
      <c r="H249" t="s">
        <v>30</v>
      </c>
      <c r="I249" t="s">
        <v>42</v>
      </c>
      <c r="J249" s="1">
        <v>45373</v>
      </c>
      <c r="K249" t="s">
        <v>24</v>
      </c>
      <c r="L249" t="s">
        <v>427</v>
      </c>
      <c r="M249" t="s">
        <v>66</v>
      </c>
      <c r="N249">
        <v>5</v>
      </c>
      <c r="O249">
        <v>1</v>
      </c>
      <c r="P249">
        <v>36</v>
      </c>
      <c r="Q249" t="s">
        <v>27</v>
      </c>
      <c r="R249">
        <f>IF(tblSubscriptions[[#This Row],[churned]] = "Yes",1,0)</f>
        <v>1</v>
      </c>
      <c r="S249">
        <f t="shared" si="15"/>
        <v>1</v>
      </c>
      <c r="T249">
        <f t="shared" si="16"/>
        <v>1</v>
      </c>
      <c r="U249">
        <f t="shared" si="17"/>
        <v>0</v>
      </c>
      <c r="V249">
        <f t="shared" si="18"/>
        <v>2</v>
      </c>
      <c r="W249" t="str">
        <f t="shared" si="19"/>
        <v>High Risk</v>
      </c>
    </row>
    <row r="250" spans="1:23">
      <c r="A250" t="s">
        <v>428</v>
      </c>
      <c r="B250" t="s">
        <v>18</v>
      </c>
      <c r="C250" t="s">
        <v>19</v>
      </c>
      <c r="D250" t="s">
        <v>34</v>
      </c>
      <c r="E250" t="s">
        <v>47</v>
      </c>
      <c r="F250">
        <v>6</v>
      </c>
      <c r="G250">
        <v>138</v>
      </c>
      <c r="H250" t="s">
        <v>30</v>
      </c>
      <c r="I250" t="s">
        <v>23</v>
      </c>
      <c r="J250" s="1">
        <v>45765</v>
      </c>
      <c r="K250" t="s">
        <v>24</v>
      </c>
      <c r="L250" t="s">
        <v>429</v>
      </c>
      <c r="M250" t="s">
        <v>52</v>
      </c>
      <c r="N250">
        <v>5</v>
      </c>
      <c r="O250">
        <v>3</v>
      </c>
      <c r="P250">
        <v>36</v>
      </c>
      <c r="Q250" t="s">
        <v>27</v>
      </c>
      <c r="R250">
        <f>IF(tblSubscriptions[[#This Row],[churned]] = "Yes",1,0)</f>
        <v>1</v>
      </c>
      <c r="S250">
        <f t="shared" si="15"/>
        <v>1</v>
      </c>
      <c r="T250">
        <f t="shared" si="16"/>
        <v>1</v>
      </c>
      <c r="U250">
        <f t="shared" si="17"/>
        <v>0</v>
      </c>
      <c r="V250">
        <f t="shared" si="18"/>
        <v>2</v>
      </c>
      <c r="W250" t="str">
        <f t="shared" si="19"/>
        <v>High Risk</v>
      </c>
    </row>
    <row r="251" spans="1:23">
      <c r="A251" t="s">
        <v>430</v>
      </c>
      <c r="B251" t="s">
        <v>39</v>
      </c>
      <c r="C251" t="s">
        <v>19</v>
      </c>
      <c r="D251" t="s">
        <v>73</v>
      </c>
      <c r="E251" t="s">
        <v>47</v>
      </c>
      <c r="F251">
        <v>1</v>
      </c>
      <c r="G251">
        <v>199</v>
      </c>
      <c r="H251" t="s">
        <v>48</v>
      </c>
      <c r="I251" t="s">
        <v>23</v>
      </c>
      <c r="J251" s="1">
        <v>45944</v>
      </c>
      <c r="K251" t="s">
        <v>27</v>
      </c>
      <c r="L251" t="s">
        <v>31</v>
      </c>
      <c r="M251" t="s">
        <v>31</v>
      </c>
      <c r="N251">
        <v>1</v>
      </c>
      <c r="O251">
        <v>10</v>
      </c>
      <c r="P251">
        <v>69</v>
      </c>
      <c r="Q251" t="s">
        <v>27</v>
      </c>
      <c r="R251">
        <f>IF(tblSubscriptions[[#This Row],[churned]] = "Yes",1,0)</f>
        <v>0</v>
      </c>
      <c r="S251">
        <f t="shared" si="15"/>
        <v>0</v>
      </c>
      <c r="T251">
        <f t="shared" si="16"/>
        <v>0</v>
      </c>
      <c r="U251">
        <f t="shared" si="17"/>
        <v>0</v>
      </c>
      <c r="V251">
        <f t="shared" si="18"/>
        <v>0</v>
      </c>
      <c r="W251" t="str">
        <f t="shared" si="19"/>
        <v>Low Risk</v>
      </c>
    </row>
    <row r="252" spans="1:23">
      <c r="A252" t="s">
        <v>431</v>
      </c>
      <c r="B252" t="s">
        <v>33</v>
      </c>
      <c r="C252" t="s">
        <v>29</v>
      </c>
      <c r="D252" t="s">
        <v>83</v>
      </c>
      <c r="E252" t="s">
        <v>41</v>
      </c>
      <c r="F252">
        <v>31</v>
      </c>
      <c r="G252">
        <v>136</v>
      </c>
      <c r="H252" t="s">
        <v>36</v>
      </c>
      <c r="I252" t="s">
        <v>42</v>
      </c>
      <c r="J252" s="1">
        <v>44832</v>
      </c>
      <c r="K252" t="s">
        <v>24</v>
      </c>
      <c r="L252" t="s">
        <v>432</v>
      </c>
      <c r="M252" t="s">
        <v>26</v>
      </c>
      <c r="N252">
        <v>0</v>
      </c>
      <c r="O252">
        <v>6</v>
      </c>
      <c r="P252">
        <v>40</v>
      </c>
      <c r="Q252" t="s">
        <v>27</v>
      </c>
      <c r="R252">
        <f>IF(tblSubscriptions[[#This Row],[churned]] = "Yes",1,0)</f>
        <v>1</v>
      </c>
      <c r="S252">
        <f t="shared" si="15"/>
        <v>1</v>
      </c>
      <c r="T252">
        <f t="shared" si="16"/>
        <v>1</v>
      </c>
      <c r="U252">
        <f t="shared" si="17"/>
        <v>0</v>
      </c>
      <c r="V252">
        <f t="shared" si="18"/>
        <v>2</v>
      </c>
      <c r="W252" t="str">
        <f t="shared" si="19"/>
        <v>High Risk</v>
      </c>
    </row>
    <row r="253" spans="1:23">
      <c r="A253" t="s">
        <v>433</v>
      </c>
      <c r="B253" t="s">
        <v>39</v>
      </c>
      <c r="C253" t="s">
        <v>29</v>
      </c>
      <c r="D253" t="s">
        <v>83</v>
      </c>
      <c r="E253" t="s">
        <v>41</v>
      </c>
      <c r="F253">
        <v>19</v>
      </c>
      <c r="G253">
        <v>626</v>
      </c>
      <c r="H253" t="s">
        <v>124</v>
      </c>
      <c r="I253" t="s">
        <v>23</v>
      </c>
      <c r="J253" s="1">
        <v>45424</v>
      </c>
      <c r="K253" t="s">
        <v>24</v>
      </c>
      <c r="L253" t="s">
        <v>392</v>
      </c>
      <c r="M253" t="s">
        <v>52</v>
      </c>
      <c r="N253">
        <v>15</v>
      </c>
      <c r="O253">
        <v>2</v>
      </c>
      <c r="P253">
        <v>47</v>
      </c>
      <c r="Q253" t="s">
        <v>27</v>
      </c>
      <c r="R253">
        <f>IF(tblSubscriptions[[#This Row],[churned]] = "Yes",1,0)</f>
        <v>1</v>
      </c>
      <c r="S253">
        <f t="shared" si="15"/>
        <v>1</v>
      </c>
      <c r="T253">
        <f t="shared" si="16"/>
        <v>1</v>
      </c>
      <c r="U253">
        <f t="shared" si="17"/>
        <v>1</v>
      </c>
      <c r="V253">
        <f t="shared" si="18"/>
        <v>3</v>
      </c>
      <c r="W253" t="str">
        <f t="shared" si="19"/>
        <v>High Risk</v>
      </c>
    </row>
    <row r="254" spans="1:23">
      <c r="A254" t="s">
        <v>434</v>
      </c>
      <c r="B254" t="s">
        <v>18</v>
      </c>
      <c r="C254" t="s">
        <v>19</v>
      </c>
      <c r="D254" t="s">
        <v>83</v>
      </c>
      <c r="E254" t="s">
        <v>41</v>
      </c>
      <c r="F254">
        <v>32</v>
      </c>
      <c r="G254">
        <v>446</v>
      </c>
      <c r="H254" t="s">
        <v>22</v>
      </c>
      <c r="I254" t="s">
        <v>23</v>
      </c>
      <c r="J254" s="1">
        <v>44894</v>
      </c>
      <c r="K254" t="s">
        <v>24</v>
      </c>
      <c r="L254" t="s">
        <v>435</v>
      </c>
      <c r="M254" t="s">
        <v>66</v>
      </c>
      <c r="N254">
        <v>7</v>
      </c>
      <c r="O254">
        <v>1</v>
      </c>
      <c r="P254">
        <v>20</v>
      </c>
      <c r="Q254" t="s">
        <v>27</v>
      </c>
      <c r="R254">
        <f>IF(tblSubscriptions[[#This Row],[churned]] = "Yes",1,0)</f>
        <v>1</v>
      </c>
      <c r="S254">
        <f t="shared" si="15"/>
        <v>1</v>
      </c>
      <c r="T254">
        <f t="shared" si="16"/>
        <v>1</v>
      </c>
      <c r="U254">
        <f t="shared" si="17"/>
        <v>0</v>
      </c>
      <c r="V254">
        <f t="shared" si="18"/>
        <v>2</v>
      </c>
      <c r="W254" t="str">
        <f t="shared" si="19"/>
        <v>High Risk</v>
      </c>
    </row>
    <row r="255" spans="1:23">
      <c r="A255" t="s">
        <v>436</v>
      </c>
      <c r="B255" t="s">
        <v>33</v>
      </c>
      <c r="C255" t="s">
        <v>29</v>
      </c>
      <c r="D255" t="s">
        <v>56</v>
      </c>
      <c r="E255" t="s">
        <v>41</v>
      </c>
      <c r="F255">
        <v>12</v>
      </c>
      <c r="G255">
        <v>65</v>
      </c>
      <c r="H255" t="s">
        <v>22</v>
      </c>
      <c r="I255" t="s">
        <v>42</v>
      </c>
      <c r="J255" s="1">
        <v>45795</v>
      </c>
      <c r="K255" t="s">
        <v>27</v>
      </c>
      <c r="L255" t="s">
        <v>31</v>
      </c>
      <c r="M255" t="s">
        <v>31</v>
      </c>
      <c r="N255">
        <v>0</v>
      </c>
      <c r="O255">
        <v>9</v>
      </c>
      <c r="P255">
        <v>50</v>
      </c>
      <c r="Q255" t="s">
        <v>24</v>
      </c>
      <c r="R255">
        <f>IF(tblSubscriptions[[#This Row],[churned]] = "Yes",1,0)</f>
        <v>0</v>
      </c>
      <c r="S255">
        <f t="shared" si="15"/>
        <v>0</v>
      </c>
      <c r="T255">
        <f t="shared" si="16"/>
        <v>0</v>
      </c>
      <c r="U255">
        <f t="shared" si="17"/>
        <v>0</v>
      </c>
      <c r="V255">
        <f t="shared" si="18"/>
        <v>0</v>
      </c>
      <c r="W255" t="str">
        <f t="shared" si="19"/>
        <v>Low Risk</v>
      </c>
    </row>
    <row r="256" spans="1:23">
      <c r="A256" t="s">
        <v>437</v>
      </c>
      <c r="B256" t="s">
        <v>39</v>
      </c>
      <c r="C256" t="s">
        <v>19</v>
      </c>
      <c r="D256" t="s">
        <v>40</v>
      </c>
      <c r="E256" t="s">
        <v>47</v>
      </c>
      <c r="F256">
        <v>1</v>
      </c>
      <c r="G256">
        <v>199</v>
      </c>
      <c r="H256" t="s">
        <v>22</v>
      </c>
      <c r="I256" t="s">
        <v>42</v>
      </c>
      <c r="J256" s="1">
        <v>44645</v>
      </c>
      <c r="K256" t="s">
        <v>24</v>
      </c>
      <c r="L256" t="s">
        <v>438</v>
      </c>
      <c r="M256" t="s">
        <v>62</v>
      </c>
      <c r="N256">
        <v>14</v>
      </c>
      <c r="O256">
        <v>5</v>
      </c>
      <c r="P256">
        <v>28</v>
      </c>
      <c r="Q256" t="s">
        <v>27</v>
      </c>
      <c r="R256">
        <f>IF(tblSubscriptions[[#This Row],[churned]] = "Yes",1,0)</f>
        <v>1</v>
      </c>
      <c r="S256">
        <f t="shared" si="15"/>
        <v>1</v>
      </c>
      <c r="T256">
        <f t="shared" si="16"/>
        <v>1</v>
      </c>
      <c r="U256">
        <f t="shared" si="17"/>
        <v>1</v>
      </c>
      <c r="V256">
        <f t="shared" si="18"/>
        <v>3</v>
      </c>
      <c r="W256" t="str">
        <f t="shared" si="19"/>
        <v>High Risk</v>
      </c>
    </row>
    <row r="257" spans="1:23">
      <c r="A257" t="s">
        <v>439</v>
      </c>
      <c r="B257" t="s">
        <v>39</v>
      </c>
      <c r="C257" t="s">
        <v>19</v>
      </c>
      <c r="D257" t="s">
        <v>73</v>
      </c>
      <c r="E257" t="s">
        <v>41</v>
      </c>
      <c r="F257">
        <v>7</v>
      </c>
      <c r="G257">
        <v>378</v>
      </c>
      <c r="H257" t="s">
        <v>22</v>
      </c>
      <c r="I257" t="s">
        <v>23</v>
      </c>
      <c r="J257" s="1">
        <v>44992</v>
      </c>
      <c r="K257" t="s">
        <v>27</v>
      </c>
      <c r="L257" t="s">
        <v>31</v>
      </c>
      <c r="M257" t="s">
        <v>31</v>
      </c>
      <c r="N257">
        <v>10</v>
      </c>
      <c r="O257">
        <v>10</v>
      </c>
      <c r="P257">
        <v>58</v>
      </c>
      <c r="Q257" t="s">
        <v>24</v>
      </c>
      <c r="R257">
        <f>IF(tblSubscriptions[[#This Row],[churned]] = "Yes",1,0)</f>
        <v>0</v>
      </c>
      <c r="S257">
        <f t="shared" si="15"/>
        <v>0</v>
      </c>
      <c r="T257">
        <f t="shared" si="16"/>
        <v>0</v>
      </c>
      <c r="U257">
        <f t="shared" si="17"/>
        <v>0</v>
      </c>
      <c r="V257">
        <f t="shared" si="18"/>
        <v>0</v>
      </c>
      <c r="W257" t="str">
        <f t="shared" si="19"/>
        <v>Low Risk</v>
      </c>
    </row>
    <row r="258" spans="1:23">
      <c r="A258" t="s">
        <v>440</v>
      </c>
      <c r="B258" t="s">
        <v>33</v>
      </c>
      <c r="C258" t="s">
        <v>29</v>
      </c>
      <c r="D258" t="s">
        <v>20</v>
      </c>
      <c r="E258" t="s">
        <v>35</v>
      </c>
      <c r="F258">
        <v>285</v>
      </c>
      <c r="G258">
        <v>1075</v>
      </c>
      <c r="H258" t="s">
        <v>124</v>
      </c>
      <c r="I258" t="s">
        <v>23</v>
      </c>
      <c r="J258" s="1">
        <v>45562</v>
      </c>
      <c r="K258" t="s">
        <v>27</v>
      </c>
      <c r="L258" t="s">
        <v>31</v>
      </c>
      <c r="M258" t="s">
        <v>31</v>
      </c>
      <c r="N258">
        <v>2</v>
      </c>
      <c r="O258">
        <v>9</v>
      </c>
      <c r="P258">
        <v>91</v>
      </c>
      <c r="Q258" t="s">
        <v>24</v>
      </c>
      <c r="R258">
        <f>IF(tblSubscriptions[[#This Row],[churned]] = "Yes",1,0)</f>
        <v>0</v>
      </c>
      <c r="S258">
        <f t="shared" ref="S258:S321" si="20">IF(P258&lt;50,1,0)</f>
        <v>0</v>
      </c>
      <c r="T258">
        <f t="shared" ref="T258:T321" si="21">IF(O258&lt;=6,1,0)</f>
        <v>0</v>
      </c>
      <c r="U258">
        <f t="shared" ref="U258:U321" si="22">IF(N258&gt;=11,1,0)</f>
        <v>0</v>
      </c>
      <c r="V258">
        <f t="shared" ref="V258:V321" si="23">S258+T258+U258</f>
        <v>0</v>
      </c>
      <c r="W258" t="str">
        <f t="shared" ref="W258:W321" si="24">IF(V258&gt;=2,"High Risk",IF(V258=1,"Medium Risk","Low Risk"))</f>
        <v>Low Risk</v>
      </c>
    </row>
    <row r="259" spans="1:23">
      <c r="A259" t="s">
        <v>441</v>
      </c>
      <c r="B259" t="s">
        <v>33</v>
      </c>
      <c r="C259" t="s">
        <v>29</v>
      </c>
      <c r="D259" t="s">
        <v>40</v>
      </c>
      <c r="E259" t="s">
        <v>21</v>
      </c>
      <c r="F259">
        <v>31</v>
      </c>
      <c r="G259">
        <v>136</v>
      </c>
      <c r="H259" t="s">
        <v>48</v>
      </c>
      <c r="I259" t="s">
        <v>42</v>
      </c>
      <c r="J259" s="1">
        <v>44670</v>
      </c>
      <c r="K259" t="s">
        <v>24</v>
      </c>
      <c r="L259" t="s">
        <v>442</v>
      </c>
      <c r="M259" t="s">
        <v>75</v>
      </c>
      <c r="N259">
        <v>4</v>
      </c>
      <c r="O259">
        <v>5</v>
      </c>
      <c r="P259">
        <v>36</v>
      </c>
      <c r="Q259" t="s">
        <v>27</v>
      </c>
      <c r="R259">
        <f>IF(tblSubscriptions[[#This Row],[churned]] = "Yes",1,0)</f>
        <v>1</v>
      </c>
      <c r="S259">
        <f t="shared" si="20"/>
        <v>1</v>
      </c>
      <c r="T259">
        <f t="shared" si="21"/>
        <v>1</v>
      </c>
      <c r="U259">
        <f t="shared" si="22"/>
        <v>0</v>
      </c>
      <c r="V259">
        <f t="shared" si="23"/>
        <v>2</v>
      </c>
      <c r="W259" t="str">
        <f t="shared" si="24"/>
        <v>High Risk</v>
      </c>
    </row>
    <row r="260" spans="1:23">
      <c r="A260" t="s">
        <v>443</v>
      </c>
      <c r="B260" t="s">
        <v>18</v>
      </c>
      <c r="C260" t="s">
        <v>29</v>
      </c>
      <c r="D260" t="s">
        <v>56</v>
      </c>
      <c r="E260" t="s">
        <v>50</v>
      </c>
      <c r="F260">
        <v>143</v>
      </c>
      <c r="G260">
        <v>1497</v>
      </c>
      <c r="H260" t="s">
        <v>36</v>
      </c>
      <c r="I260" t="s">
        <v>64</v>
      </c>
      <c r="J260" s="1">
        <v>45840</v>
      </c>
      <c r="K260" t="s">
        <v>27</v>
      </c>
      <c r="L260" t="s">
        <v>31</v>
      </c>
      <c r="M260" t="s">
        <v>31</v>
      </c>
      <c r="N260">
        <v>3</v>
      </c>
      <c r="O260">
        <v>1</v>
      </c>
      <c r="P260">
        <v>84</v>
      </c>
      <c r="Q260" t="s">
        <v>27</v>
      </c>
      <c r="R260">
        <f>IF(tblSubscriptions[[#This Row],[churned]] = "Yes",1,0)</f>
        <v>0</v>
      </c>
      <c r="S260">
        <f t="shared" si="20"/>
        <v>0</v>
      </c>
      <c r="T260">
        <f t="shared" si="21"/>
        <v>1</v>
      </c>
      <c r="U260">
        <f t="shared" si="22"/>
        <v>0</v>
      </c>
      <c r="V260">
        <f t="shared" si="23"/>
        <v>1</v>
      </c>
      <c r="W260" t="str">
        <f t="shared" si="24"/>
        <v>Medium Risk</v>
      </c>
    </row>
    <row r="261" spans="1:23">
      <c r="A261" t="s">
        <v>444</v>
      </c>
      <c r="B261" t="s">
        <v>18</v>
      </c>
      <c r="C261" t="s">
        <v>19</v>
      </c>
      <c r="D261" t="s">
        <v>40</v>
      </c>
      <c r="E261" t="s">
        <v>35</v>
      </c>
      <c r="F261">
        <v>193</v>
      </c>
      <c r="G261">
        <v>2354</v>
      </c>
      <c r="H261" t="s">
        <v>22</v>
      </c>
      <c r="I261" t="s">
        <v>23</v>
      </c>
      <c r="J261" s="1">
        <v>45137</v>
      </c>
      <c r="K261" t="s">
        <v>24</v>
      </c>
      <c r="L261" t="s">
        <v>445</v>
      </c>
      <c r="M261" t="s">
        <v>58</v>
      </c>
      <c r="N261">
        <v>3</v>
      </c>
      <c r="O261">
        <v>3</v>
      </c>
      <c r="P261">
        <v>39</v>
      </c>
      <c r="Q261" t="s">
        <v>27</v>
      </c>
      <c r="R261">
        <f>IF(tblSubscriptions[[#This Row],[churned]] = "Yes",1,0)</f>
        <v>1</v>
      </c>
      <c r="S261">
        <f t="shared" si="20"/>
        <v>1</v>
      </c>
      <c r="T261">
        <f t="shared" si="21"/>
        <v>1</v>
      </c>
      <c r="U261">
        <f t="shared" si="22"/>
        <v>0</v>
      </c>
      <c r="V261">
        <f t="shared" si="23"/>
        <v>2</v>
      </c>
      <c r="W261" t="str">
        <f t="shared" si="24"/>
        <v>High Risk</v>
      </c>
    </row>
    <row r="262" spans="1:23">
      <c r="A262" t="s">
        <v>446</v>
      </c>
      <c r="B262" t="s">
        <v>18</v>
      </c>
      <c r="C262" t="s">
        <v>29</v>
      </c>
      <c r="D262" t="s">
        <v>83</v>
      </c>
      <c r="E262" t="s">
        <v>47</v>
      </c>
      <c r="F262">
        <v>5</v>
      </c>
      <c r="G262">
        <v>107</v>
      </c>
      <c r="H262" t="s">
        <v>22</v>
      </c>
      <c r="I262" t="s">
        <v>23</v>
      </c>
      <c r="J262" s="1">
        <v>45543</v>
      </c>
      <c r="K262" t="s">
        <v>27</v>
      </c>
      <c r="L262" t="s">
        <v>31</v>
      </c>
      <c r="M262" t="s">
        <v>31</v>
      </c>
      <c r="N262">
        <v>1</v>
      </c>
      <c r="O262">
        <v>9</v>
      </c>
      <c r="P262">
        <v>95</v>
      </c>
      <c r="Q262" t="s">
        <v>27</v>
      </c>
      <c r="R262">
        <f>IF(tblSubscriptions[[#This Row],[churned]] = "Yes",1,0)</f>
        <v>0</v>
      </c>
      <c r="S262">
        <f t="shared" si="20"/>
        <v>0</v>
      </c>
      <c r="T262">
        <f t="shared" si="21"/>
        <v>0</v>
      </c>
      <c r="U262">
        <f t="shared" si="22"/>
        <v>0</v>
      </c>
      <c r="V262">
        <f t="shared" si="23"/>
        <v>0</v>
      </c>
      <c r="W262" t="str">
        <f t="shared" si="24"/>
        <v>Low Risk</v>
      </c>
    </row>
    <row r="263" spans="1:23">
      <c r="A263" t="s">
        <v>447</v>
      </c>
      <c r="B263" t="s">
        <v>39</v>
      </c>
      <c r="C263" t="s">
        <v>19</v>
      </c>
      <c r="D263" t="s">
        <v>44</v>
      </c>
      <c r="E263" t="s">
        <v>47</v>
      </c>
      <c r="F263">
        <v>8</v>
      </c>
      <c r="G263">
        <v>408</v>
      </c>
      <c r="H263" t="s">
        <v>36</v>
      </c>
      <c r="I263" t="s">
        <v>23</v>
      </c>
      <c r="J263" s="1">
        <v>45327</v>
      </c>
      <c r="K263" t="s">
        <v>24</v>
      </c>
      <c r="L263" t="s">
        <v>448</v>
      </c>
      <c r="M263" t="s">
        <v>62</v>
      </c>
      <c r="N263">
        <v>14</v>
      </c>
      <c r="O263">
        <v>6</v>
      </c>
      <c r="P263">
        <v>19</v>
      </c>
      <c r="Q263" t="s">
        <v>27</v>
      </c>
      <c r="R263">
        <f>IF(tblSubscriptions[[#This Row],[churned]] = "Yes",1,0)</f>
        <v>1</v>
      </c>
      <c r="S263">
        <f t="shared" si="20"/>
        <v>1</v>
      </c>
      <c r="T263">
        <f t="shared" si="21"/>
        <v>1</v>
      </c>
      <c r="U263">
        <f t="shared" si="22"/>
        <v>1</v>
      </c>
      <c r="V263">
        <f t="shared" si="23"/>
        <v>3</v>
      </c>
      <c r="W263" t="str">
        <f t="shared" si="24"/>
        <v>High Risk</v>
      </c>
    </row>
    <row r="264" spans="1:23">
      <c r="A264" t="s">
        <v>449</v>
      </c>
      <c r="B264" t="s">
        <v>39</v>
      </c>
      <c r="C264" t="s">
        <v>29</v>
      </c>
      <c r="D264" t="s">
        <v>60</v>
      </c>
      <c r="E264" t="s">
        <v>41</v>
      </c>
      <c r="F264">
        <v>8</v>
      </c>
      <c r="G264">
        <v>347</v>
      </c>
      <c r="H264" t="s">
        <v>36</v>
      </c>
      <c r="I264" t="s">
        <v>42</v>
      </c>
      <c r="J264" s="1">
        <v>45877</v>
      </c>
      <c r="K264" t="s">
        <v>27</v>
      </c>
      <c r="L264" t="s">
        <v>31</v>
      </c>
      <c r="M264" t="s">
        <v>31</v>
      </c>
      <c r="N264">
        <v>3</v>
      </c>
      <c r="O264">
        <v>6</v>
      </c>
      <c r="P264">
        <v>43</v>
      </c>
      <c r="Q264" t="s">
        <v>27</v>
      </c>
      <c r="R264">
        <f>IF(tblSubscriptions[[#This Row],[churned]] = "Yes",1,0)</f>
        <v>0</v>
      </c>
      <c r="S264">
        <f t="shared" si="20"/>
        <v>1</v>
      </c>
      <c r="T264">
        <f t="shared" si="21"/>
        <v>1</v>
      </c>
      <c r="U264">
        <f t="shared" si="22"/>
        <v>0</v>
      </c>
      <c r="V264">
        <f t="shared" si="23"/>
        <v>2</v>
      </c>
      <c r="W264" t="str">
        <f t="shared" si="24"/>
        <v>High Risk</v>
      </c>
    </row>
    <row r="265" spans="1:23">
      <c r="A265" t="s">
        <v>450</v>
      </c>
      <c r="B265" t="s">
        <v>33</v>
      </c>
      <c r="C265" t="s">
        <v>19</v>
      </c>
      <c r="D265" t="s">
        <v>56</v>
      </c>
      <c r="E265" t="s">
        <v>21</v>
      </c>
      <c r="F265">
        <v>52</v>
      </c>
      <c r="G265">
        <v>251</v>
      </c>
      <c r="H265" t="s">
        <v>22</v>
      </c>
      <c r="I265" t="s">
        <v>23</v>
      </c>
      <c r="J265" s="1">
        <v>45702</v>
      </c>
      <c r="K265" t="s">
        <v>27</v>
      </c>
      <c r="L265" t="s">
        <v>31</v>
      </c>
      <c r="M265" t="s">
        <v>31</v>
      </c>
      <c r="N265">
        <v>2</v>
      </c>
      <c r="O265">
        <v>7</v>
      </c>
      <c r="P265">
        <v>42</v>
      </c>
      <c r="Q265" t="s">
        <v>27</v>
      </c>
      <c r="R265">
        <f>IF(tblSubscriptions[[#This Row],[churned]] = "Yes",1,0)</f>
        <v>0</v>
      </c>
      <c r="S265">
        <f t="shared" si="20"/>
        <v>1</v>
      </c>
      <c r="T265">
        <f t="shared" si="21"/>
        <v>0</v>
      </c>
      <c r="U265">
        <f t="shared" si="22"/>
        <v>0</v>
      </c>
      <c r="V265">
        <f t="shared" si="23"/>
        <v>1</v>
      </c>
      <c r="W265" t="str">
        <f t="shared" si="24"/>
        <v>Medium Risk</v>
      </c>
    </row>
    <row r="266" spans="1:23">
      <c r="A266" t="s">
        <v>451</v>
      </c>
      <c r="B266" t="s">
        <v>18</v>
      </c>
      <c r="C266" t="s">
        <v>19</v>
      </c>
      <c r="D266" t="s">
        <v>44</v>
      </c>
      <c r="E266" t="s">
        <v>21</v>
      </c>
      <c r="F266">
        <v>45</v>
      </c>
      <c r="G266">
        <v>600</v>
      </c>
      <c r="H266" t="s">
        <v>70</v>
      </c>
      <c r="I266" t="s">
        <v>23</v>
      </c>
      <c r="J266" s="1">
        <v>45738</v>
      </c>
      <c r="K266" t="s">
        <v>27</v>
      </c>
      <c r="L266" t="s">
        <v>31</v>
      </c>
      <c r="M266" t="s">
        <v>31</v>
      </c>
      <c r="N266">
        <v>11</v>
      </c>
      <c r="O266">
        <v>1</v>
      </c>
      <c r="P266">
        <v>56</v>
      </c>
      <c r="Q266" t="s">
        <v>27</v>
      </c>
      <c r="R266">
        <f>IF(tblSubscriptions[[#This Row],[churned]] = "Yes",1,0)</f>
        <v>0</v>
      </c>
      <c r="S266">
        <f t="shared" si="20"/>
        <v>0</v>
      </c>
      <c r="T266">
        <f t="shared" si="21"/>
        <v>1</v>
      </c>
      <c r="U266">
        <f t="shared" si="22"/>
        <v>1</v>
      </c>
      <c r="V266">
        <f t="shared" si="23"/>
        <v>2</v>
      </c>
      <c r="W266" t="str">
        <f t="shared" si="24"/>
        <v>High Risk</v>
      </c>
    </row>
    <row r="267" spans="1:23">
      <c r="A267" t="s">
        <v>452</v>
      </c>
      <c r="B267" t="s">
        <v>33</v>
      </c>
      <c r="C267" t="s">
        <v>29</v>
      </c>
      <c r="D267" t="s">
        <v>20</v>
      </c>
      <c r="E267" t="s">
        <v>41</v>
      </c>
      <c r="F267">
        <v>22</v>
      </c>
      <c r="G267">
        <v>102</v>
      </c>
      <c r="H267" t="s">
        <v>48</v>
      </c>
      <c r="I267" t="s">
        <v>23</v>
      </c>
      <c r="J267" s="1">
        <v>44665</v>
      </c>
      <c r="K267" t="s">
        <v>24</v>
      </c>
      <c r="L267" t="s">
        <v>453</v>
      </c>
      <c r="M267" t="s">
        <v>62</v>
      </c>
      <c r="N267">
        <v>5</v>
      </c>
      <c r="O267">
        <v>4</v>
      </c>
      <c r="P267">
        <v>20</v>
      </c>
      <c r="Q267" t="s">
        <v>27</v>
      </c>
      <c r="R267">
        <f>IF(tblSubscriptions[[#This Row],[churned]] = "Yes",1,0)</f>
        <v>1</v>
      </c>
      <c r="S267">
        <f t="shared" si="20"/>
        <v>1</v>
      </c>
      <c r="T267">
        <f t="shared" si="21"/>
        <v>1</v>
      </c>
      <c r="U267">
        <f t="shared" si="22"/>
        <v>0</v>
      </c>
      <c r="V267">
        <f t="shared" si="23"/>
        <v>2</v>
      </c>
      <c r="W267" t="str">
        <f t="shared" si="24"/>
        <v>High Risk</v>
      </c>
    </row>
    <row r="268" spans="1:23">
      <c r="A268" t="s">
        <v>454</v>
      </c>
      <c r="B268" t="s">
        <v>87</v>
      </c>
      <c r="C268" t="s">
        <v>19</v>
      </c>
      <c r="D268" t="s">
        <v>97</v>
      </c>
      <c r="E268" t="s">
        <v>47</v>
      </c>
      <c r="F268">
        <v>3</v>
      </c>
      <c r="G268">
        <v>649</v>
      </c>
      <c r="H268" t="s">
        <v>70</v>
      </c>
      <c r="I268" t="s">
        <v>64</v>
      </c>
      <c r="J268" s="1">
        <v>45053</v>
      </c>
      <c r="K268" t="s">
        <v>27</v>
      </c>
      <c r="L268" t="s">
        <v>31</v>
      </c>
      <c r="M268" t="s">
        <v>31</v>
      </c>
      <c r="N268">
        <v>3</v>
      </c>
      <c r="O268">
        <v>1</v>
      </c>
      <c r="P268">
        <v>41</v>
      </c>
      <c r="Q268" t="s">
        <v>27</v>
      </c>
      <c r="R268">
        <f>IF(tblSubscriptions[[#This Row],[churned]] = "Yes",1,0)</f>
        <v>0</v>
      </c>
      <c r="S268">
        <f t="shared" si="20"/>
        <v>1</v>
      </c>
      <c r="T268">
        <f t="shared" si="21"/>
        <v>1</v>
      </c>
      <c r="U268">
        <f t="shared" si="22"/>
        <v>0</v>
      </c>
      <c r="V268">
        <f t="shared" si="23"/>
        <v>2</v>
      </c>
      <c r="W268" t="str">
        <f t="shared" si="24"/>
        <v>High Risk</v>
      </c>
    </row>
    <row r="269" spans="1:23">
      <c r="A269" t="s">
        <v>455</v>
      </c>
      <c r="B269" t="s">
        <v>18</v>
      </c>
      <c r="C269" t="s">
        <v>29</v>
      </c>
      <c r="D269" t="s">
        <v>20</v>
      </c>
      <c r="E269" t="s">
        <v>50</v>
      </c>
      <c r="F269">
        <v>49</v>
      </c>
      <c r="G269">
        <v>551</v>
      </c>
      <c r="H269" t="s">
        <v>22</v>
      </c>
      <c r="I269" t="s">
        <v>23</v>
      </c>
      <c r="J269" s="1">
        <v>44830</v>
      </c>
      <c r="K269" t="s">
        <v>27</v>
      </c>
      <c r="L269" t="s">
        <v>31</v>
      </c>
      <c r="M269" t="s">
        <v>31</v>
      </c>
      <c r="N269">
        <v>12</v>
      </c>
      <c r="O269">
        <v>7</v>
      </c>
      <c r="P269">
        <v>46</v>
      </c>
      <c r="Q269" t="s">
        <v>27</v>
      </c>
      <c r="R269">
        <f>IF(tblSubscriptions[[#This Row],[churned]] = "Yes",1,0)</f>
        <v>0</v>
      </c>
      <c r="S269">
        <f t="shared" si="20"/>
        <v>1</v>
      </c>
      <c r="T269">
        <f t="shared" si="21"/>
        <v>0</v>
      </c>
      <c r="U269">
        <f t="shared" si="22"/>
        <v>1</v>
      </c>
      <c r="V269">
        <f t="shared" si="23"/>
        <v>2</v>
      </c>
      <c r="W269" t="str">
        <f t="shared" si="24"/>
        <v>High Risk</v>
      </c>
    </row>
    <row r="270" spans="1:23">
      <c r="A270" t="s">
        <v>456</v>
      </c>
      <c r="B270" t="s">
        <v>18</v>
      </c>
      <c r="C270" t="s">
        <v>19</v>
      </c>
      <c r="D270" t="s">
        <v>97</v>
      </c>
      <c r="E270" t="s">
        <v>47</v>
      </c>
      <c r="F270">
        <v>3</v>
      </c>
      <c r="G270">
        <v>103</v>
      </c>
      <c r="H270" t="s">
        <v>124</v>
      </c>
      <c r="I270" t="s">
        <v>64</v>
      </c>
      <c r="J270" s="1">
        <v>45750</v>
      </c>
      <c r="K270" t="s">
        <v>24</v>
      </c>
      <c r="L270" t="s">
        <v>457</v>
      </c>
      <c r="M270" t="s">
        <v>75</v>
      </c>
      <c r="N270">
        <v>3</v>
      </c>
      <c r="O270">
        <v>2</v>
      </c>
      <c r="P270">
        <v>20</v>
      </c>
      <c r="Q270" t="s">
        <v>27</v>
      </c>
      <c r="R270">
        <f>IF(tblSubscriptions[[#This Row],[churned]] = "Yes",1,0)</f>
        <v>1</v>
      </c>
      <c r="S270">
        <f t="shared" si="20"/>
        <v>1</v>
      </c>
      <c r="T270">
        <f t="shared" si="21"/>
        <v>1</v>
      </c>
      <c r="U270">
        <f t="shared" si="22"/>
        <v>0</v>
      </c>
      <c r="V270">
        <f t="shared" si="23"/>
        <v>2</v>
      </c>
      <c r="W270" t="str">
        <f t="shared" si="24"/>
        <v>High Risk</v>
      </c>
    </row>
    <row r="271" spans="1:23">
      <c r="A271" t="s">
        <v>458</v>
      </c>
      <c r="B271" t="s">
        <v>18</v>
      </c>
      <c r="C271" t="s">
        <v>19</v>
      </c>
      <c r="D271" t="s">
        <v>56</v>
      </c>
      <c r="E271" t="s">
        <v>21</v>
      </c>
      <c r="F271">
        <v>66</v>
      </c>
      <c r="G271">
        <v>849</v>
      </c>
      <c r="H271" t="s">
        <v>48</v>
      </c>
      <c r="I271" t="s">
        <v>23</v>
      </c>
      <c r="J271" s="1">
        <v>44982</v>
      </c>
      <c r="K271" t="s">
        <v>24</v>
      </c>
      <c r="L271" t="s">
        <v>459</v>
      </c>
      <c r="M271" t="s">
        <v>26</v>
      </c>
      <c r="N271">
        <v>6</v>
      </c>
      <c r="O271">
        <v>2</v>
      </c>
      <c r="P271">
        <v>37</v>
      </c>
      <c r="Q271" t="s">
        <v>27</v>
      </c>
      <c r="R271">
        <f>IF(tblSubscriptions[[#This Row],[churned]] = "Yes",1,0)</f>
        <v>1</v>
      </c>
      <c r="S271">
        <f t="shared" si="20"/>
        <v>1</v>
      </c>
      <c r="T271">
        <f t="shared" si="21"/>
        <v>1</v>
      </c>
      <c r="U271">
        <f t="shared" si="22"/>
        <v>0</v>
      </c>
      <c r="V271">
        <f t="shared" si="23"/>
        <v>2</v>
      </c>
      <c r="W271" t="str">
        <f t="shared" si="24"/>
        <v>High Risk</v>
      </c>
    </row>
    <row r="272" spans="1:23">
      <c r="A272" t="s">
        <v>460</v>
      </c>
      <c r="B272" t="s">
        <v>18</v>
      </c>
      <c r="C272" t="s">
        <v>19</v>
      </c>
      <c r="D272" t="s">
        <v>46</v>
      </c>
      <c r="E272" t="s">
        <v>41</v>
      </c>
      <c r="F272">
        <v>13</v>
      </c>
      <c r="G272">
        <v>221</v>
      </c>
      <c r="H272" t="s">
        <v>22</v>
      </c>
      <c r="I272" t="s">
        <v>23</v>
      </c>
      <c r="J272" s="1">
        <v>45712</v>
      </c>
      <c r="K272" t="s">
        <v>24</v>
      </c>
      <c r="L272" t="s">
        <v>461</v>
      </c>
      <c r="M272" t="s">
        <v>66</v>
      </c>
      <c r="N272">
        <v>6</v>
      </c>
      <c r="O272">
        <v>4</v>
      </c>
      <c r="P272">
        <v>19</v>
      </c>
      <c r="Q272" t="s">
        <v>27</v>
      </c>
      <c r="R272">
        <f>IF(tblSubscriptions[[#This Row],[churned]] = "Yes",1,0)</f>
        <v>1</v>
      </c>
      <c r="S272">
        <f t="shared" si="20"/>
        <v>1</v>
      </c>
      <c r="T272">
        <f t="shared" si="21"/>
        <v>1</v>
      </c>
      <c r="U272">
        <f t="shared" si="22"/>
        <v>0</v>
      </c>
      <c r="V272">
        <f t="shared" si="23"/>
        <v>2</v>
      </c>
      <c r="W272" t="str">
        <f t="shared" si="24"/>
        <v>High Risk</v>
      </c>
    </row>
    <row r="273" spans="1:23">
      <c r="A273" t="s">
        <v>462</v>
      </c>
      <c r="B273" t="s">
        <v>33</v>
      </c>
      <c r="C273" t="s">
        <v>19</v>
      </c>
      <c r="D273" t="s">
        <v>83</v>
      </c>
      <c r="E273" t="s">
        <v>50</v>
      </c>
      <c r="F273">
        <v>103</v>
      </c>
      <c r="G273">
        <v>473</v>
      </c>
      <c r="H273" t="s">
        <v>36</v>
      </c>
      <c r="I273" t="s">
        <v>42</v>
      </c>
      <c r="J273" s="1">
        <v>45343</v>
      </c>
      <c r="K273" t="s">
        <v>24</v>
      </c>
      <c r="L273" t="s">
        <v>463</v>
      </c>
      <c r="M273" t="s">
        <v>62</v>
      </c>
      <c r="N273">
        <v>11</v>
      </c>
      <c r="O273">
        <v>1</v>
      </c>
      <c r="P273">
        <v>14</v>
      </c>
      <c r="Q273" t="s">
        <v>27</v>
      </c>
      <c r="R273">
        <f>IF(tblSubscriptions[[#This Row],[churned]] = "Yes",1,0)</f>
        <v>1</v>
      </c>
      <c r="S273">
        <f t="shared" si="20"/>
        <v>1</v>
      </c>
      <c r="T273">
        <f t="shared" si="21"/>
        <v>1</v>
      </c>
      <c r="U273">
        <f t="shared" si="22"/>
        <v>1</v>
      </c>
      <c r="V273">
        <f t="shared" si="23"/>
        <v>3</v>
      </c>
      <c r="W273" t="str">
        <f t="shared" si="24"/>
        <v>High Risk</v>
      </c>
    </row>
    <row r="274" spans="1:23">
      <c r="A274" t="s">
        <v>464</v>
      </c>
      <c r="B274" t="s">
        <v>18</v>
      </c>
      <c r="C274" t="s">
        <v>29</v>
      </c>
      <c r="D274" t="s">
        <v>44</v>
      </c>
      <c r="E274" t="s">
        <v>47</v>
      </c>
      <c r="F274">
        <v>6</v>
      </c>
      <c r="G274">
        <v>118</v>
      </c>
      <c r="H274" t="s">
        <v>22</v>
      </c>
      <c r="I274" t="s">
        <v>84</v>
      </c>
      <c r="J274" s="1">
        <v>46022</v>
      </c>
      <c r="K274" t="s">
        <v>27</v>
      </c>
      <c r="L274" t="s">
        <v>31</v>
      </c>
      <c r="M274" t="s">
        <v>31</v>
      </c>
      <c r="N274">
        <v>2</v>
      </c>
      <c r="O274">
        <v>9</v>
      </c>
      <c r="P274">
        <v>20</v>
      </c>
      <c r="Q274" t="s">
        <v>27</v>
      </c>
      <c r="R274">
        <f>IF(tblSubscriptions[[#This Row],[churned]] = "Yes",1,0)</f>
        <v>0</v>
      </c>
      <c r="S274">
        <f t="shared" si="20"/>
        <v>1</v>
      </c>
      <c r="T274">
        <f t="shared" si="21"/>
        <v>0</v>
      </c>
      <c r="U274">
        <f t="shared" si="22"/>
        <v>0</v>
      </c>
      <c r="V274">
        <f t="shared" si="23"/>
        <v>1</v>
      </c>
      <c r="W274" t="str">
        <f t="shared" si="24"/>
        <v>Medium Risk</v>
      </c>
    </row>
    <row r="275" spans="1:23">
      <c r="A275" t="s">
        <v>465</v>
      </c>
      <c r="B275" t="s">
        <v>18</v>
      </c>
      <c r="C275" t="s">
        <v>29</v>
      </c>
      <c r="D275" t="s">
        <v>34</v>
      </c>
      <c r="E275" t="s">
        <v>21</v>
      </c>
      <c r="F275">
        <v>41</v>
      </c>
      <c r="G275">
        <v>470</v>
      </c>
      <c r="H275" t="s">
        <v>36</v>
      </c>
      <c r="I275" t="s">
        <v>42</v>
      </c>
      <c r="J275" s="1">
        <v>45882</v>
      </c>
      <c r="K275" t="s">
        <v>27</v>
      </c>
      <c r="L275" t="s">
        <v>31</v>
      </c>
      <c r="M275" t="s">
        <v>31</v>
      </c>
      <c r="N275">
        <v>2</v>
      </c>
      <c r="O275">
        <v>8</v>
      </c>
      <c r="P275">
        <v>37</v>
      </c>
      <c r="Q275" t="s">
        <v>27</v>
      </c>
      <c r="R275">
        <f>IF(tblSubscriptions[[#This Row],[churned]] = "Yes",1,0)</f>
        <v>0</v>
      </c>
      <c r="S275">
        <f t="shared" si="20"/>
        <v>1</v>
      </c>
      <c r="T275">
        <f t="shared" si="21"/>
        <v>0</v>
      </c>
      <c r="U275">
        <f t="shared" si="22"/>
        <v>0</v>
      </c>
      <c r="V275">
        <f t="shared" si="23"/>
        <v>1</v>
      </c>
      <c r="W275" t="str">
        <f t="shared" si="24"/>
        <v>Medium Risk</v>
      </c>
    </row>
    <row r="276" spans="1:23">
      <c r="A276" t="s">
        <v>466</v>
      </c>
      <c r="B276" t="s">
        <v>39</v>
      </c>
      <c r="C276" t="s">
        <v>19</v>
      </c>
      <c r="D276" t="s">
        <v>73</v>
      </c>
      <c r="E276" t="s">
        <v>47</v>
      </c>
      <c r="F276">
        <v>6</v>
      </c>
      <c r="G276">
        <v>348</v>
      </c>
      <c r="H276" t="s">
        <v>22</v>
      </c>
      <c r="I276" t="s">
        <v>84</v>
      </c>
      <c r="J276" s="1">
        <v>45566</v>
      </c>
      <c r="K276" t="s">
        <v>27</v>
      </c>
      <c r="L276" t="s">
        <v>31</v>
      </c>
      <c r="M276" t="s">
        <v>31</v>
      </c>
      <c r="N276">
        <v>7</v>
      </c>
      <c r="O276">
        <v>7</v>
      </c>
      <c r="P276">
        <v>30</v>
      </c>
      <c r="Q276" t="s">
        <v>27</v>
      </c>
      <c r="R276">
        <f>IF(tblSubscriptions[[#This Row],[churned]] = "Yes",1,0)</f>
        <v>0</v>
      </c>
      <c r="S276">
        <f t="shared" si="20"/>
        <v>1</v>
      </c>
      <c r="T276">
        <f t="shared" si="21"/>
        <v>0</v>
      </c>
      <c r="U276">
        <f t="shared" si="22"/>
        <v>0</v>
      </c>
      <c r="V276">
        <f t="shared" si="23"/>
        <v>1</v>
      </c>
      <c r="W276" t="str">
        <f t="shared" si="24"/>
        <v>Medium Risk</v>
      </c>
    </row>
    <row r="277" spans="1:23">
      <c r="A277" t="s">
        <v>467</v>
      </c>
      <c r="B277" t="s">
        <v>33</v>
      </c>
      <c r="C277" t="s">
        <v>19</v>
      </c>
      <c r="D277" t="s">
        <v>83</v>
      </c>
      <c r="E277" t="s">
        <v>50</v>
      </c>
      <c r="F277">
        <v>50</v>
      </c>
      <c r="G277">
        <v>242</v>
      </c>
      <c r="H277" t="s">
        <v>48</v>
      </c>
      <c r="I277" t="s">
        <v>64</v>
      </c>
      <c r="J277" s="1">
        <v>45319</v>
      </c>
      <c r="K277" t="s">
        <v>27</v>
      </c>
      <c r="L277" t="s">
        <v>31</v>
      </c>
      <c r="M277" t="s">
        <v>31</v>
      </c>
      <c r="N277">
        <v>0</v>
      </c>
      <c r="O277">
        <v>3</v>
      </c>
      <c r="P277">
        <v>40</v>
      </c>
      <c r="Q277" t="s">
        <v>24</v>
      </c>
      <c r="R277">
        <f>IF(tblSubscriptions[[#This Row],[churned]] = "Yes",1,0)</f>
        <v>0</v>
      </c>
      <c r="S277">
        <f t="shared" si="20"/>
        <v>1</v>
      </c>
      <c r="T277">
        <f t="shared" si="21"/>
        <v>1</v>
      </c>
      <c r="U277">
        <f t="shared" si="22"/>
        <v>0</v>
      </c>
      <c r="V277">
        <f t="shared" si="23"/>
        <v>2</v>
      </c>
      <c r="W277" t="str">
        <f t="shared" si="24"/>
        <v>High Risk</v>
      </c>
    </row>
    <row r="278" spans="1:23">
      <c r="A278" t="s">
        <v>468</v>
      </c>
      <c r="B278" t="s">
        <v>87</v>
      </c>
      <c r="C278" t="s">
        <v>19</v>
      </c>
      <c r="D278" t="s">
        <v>73</v>
      </c>
      <c r="E278" t="s">
        <v>41</v>
      </c>
      <c r="F278">
        <v>31</v>
      </c>
      <c r="G278">
        <v>2745</v>
      </c>
      <c r="H278" t="s">
        <v>48</v>
      </c>
      <c r="I278" t="s">
        <v>42</v>
      </c>
      <c r="J278" s="1">
        <v>44959</v>
      </c>
      <c r="K278" t="s">
        <v>24</v>
      </c>
      <c r="L278" t="s">
        <v>469</v>
      </c>
      <c r="M278" t="s">
        <v>58</v>
      </c>
      <c r="N278">
        <v>3</v>
      </c>
      <c r="O278">
        <v>1</v>
      </c>
      <c r="P278">
        <v>12</v>
      </c>
      <c r="Q278" t="s">
        <v>27</v>
      </c>
      <c r="R278">
        <f>IF(tblSubscriptions[[#This Row],[churned]] = "Yes",1,0)</f>
        <v>1</v>
      </c>
      <c r="S278">
        <f t="shared" si="20"/>
        <v>1</v>
      </c>
      <c r="T278">
        <f t="shared" si="21"/>
        <v>1</v>
      </c>
      <c r="U278">
        <f t="shared" si="22"/>
        <v>0</v>
      </c>
      <c r="V278">
        <f t="shared" si="23"/>
        <v>2</v>
      </c>
      <c r="W278" t="str">
        <f t="shared" si="24"/>
        <v>High Risk</v>
      </c>
    </row>
    <row r="279" spans="1:23">
      <c r="A279" t="s">
        <v>470</v>
      </c>
      <c r="B279" t="s">
        <v>39</v>
      </c>
      <c r="C279" t="s">
        <v>19</v>
      </c>
      <c r="D279" t="s">
        <v>34</v>
      </c>
      <c r="E279" t="s">
        <v>21</v>
      </c>
      <c r="F279">
        <v>48</v>
      </c>
      <c r="G279">
        <v>1602</v>
      </c>
      <c r="H279" t="s">
        <v>22</v>
      </c>
      <c r="I279" t="s">
        <v>42</v>
      </c>
      <c r="J279" s="1">
        <v>45947</v>
      </c>
      <c r="K279" t="s">
        <v>27</v>
      </c>
      <c r="L279" t="s">
        <v>31</v>
      </c>
      <c r="M279" t="s">
        <v>31</v>
      </c>
      <c r="N279">
        <v>7</v>
      </c>
      <c r="O279">
        <v>4</v>
      </c>
      <c r="P279">
        <v>52</v>
      </c>
      <c r="Q279" t="s">
        <v>27</v>
      </c>
      <c r="R279">
        <f>IF(tblSubscriptions[[#This Row],[churned]] = "Yes",1,0)</f>
        <v>0</v>
      </c>
      <c r="S279">
        <f t="shared" si="20"/>
        <v>0</v>
      </c>
      <c r="T279">
        <f t="shared" si="21"/>
        <v>1</v>
      </c>
      <c r="U279">
        <f t="shared" si="22"/>
        <v>0</v>
      </c>
      <c r="V279">
        <f t="shared" si="23"/>
        <v>1</v>
      </c>
      <c r="W279" t="str">
        <f t="shared" si="24"/>
        <v>Medium Risk</v>
      </c>
    </row>
    <row r="280" spans="1:23">
      <c r="A280" t="s">
        <v>471</v>
      </c>
      <c r="B280" t="s">
        <v>33</v>
      </c>
      <c r="C280" t="s">
        <v>19</v>
      </c>
      <c r="D280" t="s">
        <v>34</v>
      </c>
      <c r="E280" t="s">
        <v>47</v>
      </c>
      <c r="F280">
        <v>7</v>
      </c>
      <c r="G280">
        <v>55</v>
      </c>
      <c r="H280" t="s">
        <v>22</v>
      </c>
      <c r="I280" t="s">
        <v>23</v>
      </c>
      <c r="J280" s="1">
        <v>45909</v>
      </c>
      <c r="K280" t="s">
        <v>27</v>
      </c>
      <c r="L280" t="s">
        <v>31</v>
      </c>
      <c r="M280" t="s">
        <v>31</v>
      </c>
      <c r="N280">
        <v>4</v>
      </c>
      <c r="O280">
        <v>3</v>
      </c>
      <c r="P280">
        <v>93</v>
      </c>
      <c r="Q280" t="s">
        <v>27</v>
      </c>
      <c r="R280">
        <f>IF(tblSubscriptions[[#This Row],[churned]] = "Yes",1,0)</f>
        <v>0</v>
      </c>
      <c r="S280">
        <f t="shared" si="20"/>
        <v>0</v>
      </c>
      <c r="T280">
        <f t="shared" si="21"/>
        <v>1</v>
      </c>
      <c r="U280">
        <f t="shared" si="22"/>
        <v>0</v>
      </c>
      <c r="V280">
        <f t="shared" si="23"/>
        <v>1</v>
      </c>
      <c r="W280" t="str">
        <f t="shared" si="24"/>
        <v>Medium Risk</v>
      </c>
    </row>
    <row r="281" spans="1:23">
      <c r="A281" t="s">
        <v>472</v>
      </c>
      <c r="B281" t="s">
        <v>33</v>
      </c>
      <c r="C281" t="s">
        <v>19</v>
      </c>
      <c r="D281" t="s">
        <v>60</v>
      </c>
      <c r="E281" t="s">
        <v>47</v>
      </c>
      <c r="F281">
        <v>3</v>
      </c>
      <c r="G281">
        <v>38</v>
      </c>
      <c r="H281" t="s">
        <v>30</v>
      </c>
      <c r="I281" t="s">
        <v>42</v>
      </c>
      <c r="J281" s="1">
        <v>45778</v>
      </c>
      <c r="K281" t="s">
        <v>27</v>
      </c>
      <c r="L281" t="s">
        <v>31</v>
      </c>
      <c r="M281" t="s">
        <v>31</v>
      </c>
      <c r="N281">
        <v>2</v>
      </c>
      <c r="O281">
        <v>6</v>
      </c>
      <c r="P281">
        <v>66</v>
      </c>
      <c r="Q281" t="s">
        <v>27</v>
      </c>
      <c r="R281">
        <f>IF(tblSubscriptions[[#This Row],[churned]] = "Yes",1,0)</f>
        <v>0</v>
      </c>
      <c r="S281">
        <f t="shared" si="20"/>
        <v>0</v>
      </c>
      <c r="T281">
        <f t="shared" si="21"/>
        <v>1</v>
      </c>
      <c r="U281">
        <f t="shared" si="22"/>
        <v>0</v>
      </c>
      <c r="V281">
        <f t="shared" si="23"/>
        <v>1</v>
      </c>
      <c r="W281" t="str">
        <f t="shared" si="24"/>
        <v>Medium Risk</v>
      </c>
    </row>
    <row r="282" spans="1:23">
      <c r="A282" t="s">
        <v>473</v>
      </c>
      <c r="B282" t="s">
        <v>39</v>
      </c>
      <c r="C282" t="s">
        <v>29</v>
      </c>
      <c r="D282" t="s">
        <v>83</v>
      </c>
      <c r="E282" t="s">
        <v>41</v>
      </c>
      <c r="F282">
        <v>25</v>
      </c>
      <c r="G282">
        <v>778</v>
      </c>
      <c r="H282" t="s">
        <v>36</v>
      </c>
      <c r="I282" t="s">
        <v>23</v>
      </c>
      <c r="J282" s="1">
        <v>45819</v>
      </c>
      <c r="K282" t="s">
        <v>27</v>
      </c>
      <c r="L282" t="s">
        <v>31</v>
      </c>
      <c r="M282" t="s">
        <v>31</v>
      </c>
      <c r="N282">
        <v>4</v>
      </c>
      <c r="O282">
        <v>3</v>
      </c>
      <c r="P282">
        <v>90</v>
      </c>
      <c r="Q282" t="s">
        <v>27</v>
      </c>
      <c r="R282">
        <f>IF(tblSubscriptions[[#This Row],[churned]] = "Yes",1,0)</f>
        <v>0</v>
      </c>
      <c r="S282">
        <f t="shared" si="20"/>
        <v>0</v>
      </c>
      <c r="T282">
        <f t="shared" si="21"/>
        <v>1</v>
      </c>
      <c r="U282">
        <f t="shared" si="22"/>
        <v>0</v>
      </c>
      <c r="V282">
        <f t="shared" si="23"/>
        <v>1</v>
      </c>
      <c r="W282" t="str">
        <f t="shared" si="24"/>
        <v>Medium Risk</v>
      </c>
    </row>
    <row r="283" spans="1:23">
      <c r="A283" t="s">
        <v>474</v>
      </c>
      <c r="B283" t="s">
        <v>18</v>
      </c>
      <c r="C283" t="s">
        <v>19</v>
      </c>
      <c r="D283" t="s">
        <v>34</v>
      </c>
      <c r="E283" t="s">
        <v>41</v>
      </c>
      <c r="F283">
        <v>15</v>
      </c>
      <c r="G283">
        <v>245</v>
      </c>
      <c r="H283" t="s">
        <v>36</v>
      </c>
      <c r="I283" t="s">
        <v>23</v>
      </c>
      <c r="J283" s="1">
        <v>45780</v>
      </c>
      <c r="K283" t="s">
        <v>27</v>
      </c>
      <c r="L283" t="s">
        <v>31</v>
      </c>
      <c r="M283" t="s">
        <v>31</v>
      </c>
      <c r="N283">
        <v>1</v>
      </c>
      <c r="O283">
        <v>6</v>
      </c>
      <c r="P283">
        <v>86</v>
      </c>
      <c r="Q283" t="s">
        <v>24</v>
      </c>
      <c r="R283">
        <f>IF(tblSubscriptions[[#This Row],[churned]] = "Yes",1,0)</f>
        <v>0</v>
      </c>
      <c r="S283">
        <f t="shared" si="20"/>
        <v>0</v>
      </c>
      <c r="T283">
        <f t="shared" si="21"/>
        <v>1</v>
      </c>
      <c r="U283">
        <f t="shared" si="22"/>
        <v>0</v>
      </c>
      <c r="V283">
        <f t="shared" si="23"/>
        <v>1</v>
      </c>
      <c r="W283" t="str">
        <f t="shared" si="24"/>
        <v>Medium Risk</v>
      </c>
    </row>
    <row r="284" spans="1:23">
      <c r="A284" t="s">
        <v>475</v>
      </c>
      <c r="B284" t="s">
        <v>18</v>
      </c>
      <c r="C284" t="s">
        <v>19</v>
      </c>
      <c r="D284" t="s">
        <v>44</v>
      </c>
      <c r="E284" t="s">
        <v>21</v>
      </c>
      <c r="F284">
        <v>18</v>
      </c>
      <c r="G284">
        <v>280</v>
      </c>
      <c r="H284" t="s">
        <v>70</v>
      </c>
      <c r="I284" t="s">
        <v>23</v>
      </c>
      <c r="J284" s="1">
        <v>44887</v>
      </c>
      <c r="K284" t="s">
        <v>24</v>
      </c>
      <c r="L284" t="s">
        <v>476</v>
      </c>
      <c r="M284" t="s">
        <v>58</v>
      </c>
      <c r="N284">
        <v>6</v>
      </c>
      <c r="O284">
        <v>2</v>
      </c>
      <c r="P284">
        <v>11</v>
      </c>
      <c r="Q284" t="s">
        <v>27</v>
      </c>
      <c r="R284">
        <f>IF(tblSubscriptions[[#This Row],[churned]] = "Yes",1,0)</f>
        <v>1</v>
      </c>
      <c r="S284">
        <f t="shared" si="20"/>
        <v>1</v>
      </c>
      <c r="T284">
        <f t="shared" si="21"/>
        <v>1</v>
      </c>
      <c r="U284">
        <f t="shared" si="22"/>
        <v>0</v>
      </c>
      <c r="V284">
        <f t="shared" si="23"/>
        <v>2</v>
      </c>
      <c r="W284" t="str">
        <f t="shared" si="24"/>
        <v>High Risk</v>
      </c>
    </row>
    <row r="285" spans="1:23">
      <c r="A285" t="s">
        <v>477</v>
      </c>
      <c r="B285" t="s">
        <v>33</v>
      </c>
      <c r="C285" t="s">
        <v>19</v>
      </c>
      <c r="D285" t="s">
        <v>44</v>
      </c>
      <c r="E285" t="s">
        <v>50</v>
      </c>
      <c r="F285">
        <v>82</v>
      </c>
      <c r="G285">
        <v>381</v>
      </c>
      <c r="H285" t="s">
        <v>22</v>
      </c>
      <c r="I285" t="s">
        <v>23</v>
      </c>
      <c r="J285" s="1">
        <v>45606</v>
      </c>
      <c r="K285" t="s">
        <v>27</v>
      </c>
      <c r="L285" t="s">
        <v>31</v>
      </c>
      <c r="M285" t="s">
        <v>31</v>
      </c>
      <c r="N285">
        <v>10</v>
      </c>
      <c r="O285">
        <v>4</v>
      </c>
      <c r="P285">
        <v>84</v>
      </c>
      <c r="Q285" t="s">
        <v>24</v>
      </c>
      <c r="R285">
        <f>IF(tblSubscriptions[[#This Row],[churned]] = "Yes",1,0)</f>
        <v>0</v>
      </c>
      <c r="S285">
        <f t="shared" si="20"/>
        <v>0</v>
      </c>
      <c r="T285">
        <f t="shared" si="21"/>
        <v>1</v>
      </c>
      <c r="U285">
        <f t="shared" si="22"/>
        <v>0</v>
      </c>
      <c r="V285">
        <f t="shared" si="23"/>
        <v>1</v>
      </c>
      <c r="W285" t="str">
        <f t="shared" si="24"/>
        <v>Medium Risk</v>
      </c>
    </row>
    <row r="286" spans="1:23">
      <c r="A286" t="s">
        <v>478</v>
      </c>
      <c r="B286" t="s">
        <v>33</v>
      </c>
      <c r="C286" t="s">
        <v>19</v>
      </c>
      <c r="D286" t="s">
        <v>60</v>
      </c>
      <c r="E286" t="s">
        <v>50</v>
      </c>
      <c r="F286">
        <v>111</v>
      </c>
      <c r="G286">
        <v>508</v>
      </c>
      <c r="H286" t="s">
        <v>124</v>
      </c>
      <c r="I286" t="s">
        <v>23</v>
      </c>
      <c r="J286" s="1">
        <v>46004</v>
      </c>
      <c r="K286" t="s">
        <v>27</v>
      </c>
      <c r="L286" t="s">
        <v>31</v>
      </c>
      <c r="M286" t="s">
        <v>31</v>
      </c>
      <c r="N286">
        <v>9</v>
      </c>
      <c r="O286">
        <v>7</v>
      </c>
      <c r="P286">
        <v>73</v>
      </c>
      <c r="Q286" t="s">
        <v>27</v>
      </c>
      <c r="R286">
        <f>IF(tblSubscriptions[[#This Row],[churned]] = "Yes",1,0)</f>
        <v>0</v>
      </c>
      <c r="S286">
        <f t="shared" si="20"/>
        <v>0</v>
      </c>
      <c r="T286">
        <f t="shared" si="21"/>
        <v>0</v>
      </c>
      <c r="U286">
        <f t="shared" si="22"/>
        <v>0</v>
      </c>
      <c r="V286">
        <f t="shared" si="23"/>
        <v>0</v>
      </c>
      <c r="W286" t="str">
        <f t="shared" si="24"/>
        <v>Low Risk</v>
      </c>
    </row>
    <row r="287" spans="1:23">
      <c r="A287" t="s">
        <v>479</v>
      </c>
      <c r="B287" t="s">
        <v>39</v>
      </c>
      <c r="C287" t="s">
        <v>29</v>
      </c>
      <c r="D287" t="s">
        <v>34</v>
      </c>
      <c r="E287" t="s">
        <v>47</v>
      </c>
      <c r="F287">
        <v>2</v>
      </c>
      <c r="G287">
        <v>195</v>
      </c>
      <c r="H287" t="s">
        <v>22</v>
      </c>
      <c r="I287" t="s">
        <v>84</v>
      </c>
      <c r="J287" s="1">
        <v>45109</v>
      </c>
      <c r="K287" t="s">
        <v>24</v>
      </c>
      <c r="L287" t="s">
        <v>480</v>
      </c>
      <c r="M287" t="s">
        <v>62</v>
      </c>
      <c r="N287">
        <v>1</v>
      </c>
      <c r="O287">
        <v>2</v>
      </c>
      <c r="P287">
        <v>39</v>
      </c>
      <c r="Q287" t="s">
        <v>27</v>
      </c>
      <c r="R287">
        <f>IF(tblSubscriptions[[#This Row],[churned]] = "Yes",1,0)</f>
        <v>1</v>
      </c>
      <c r="S287">
        <f t="shared" si="20"/>
        <v>1</v>
      </c>
      <c r="T287">
        <f t="shared" si="21"/>
        <v>1</v>
      </c>
      <c r="U287">
        <f t="shared" si="22"/>
        <v>0</v>
      </c>
      <c r="V287">
        <f t="shared" si="23"/>
        <v>2</v>
      </c>
      <c r="W287" t="str">
        <f t="shared" si="24"/>
        <v>High Risk</v>
      </c>
    </row>
    <row r="288" spans="1:23">
      <c r="A288" t="s">
        <v>481</v>
      </c>
      <c r="B288" t="s">
        <v>87</v>
      </c>
      <c r="C288" t="s">
        <v>19</v>
      </c>
      <c r="D288" t="s">
        <v>44</v>
      </c>
      <c r="E288" t="s">
        <v>21</v>
      </c>
      <c r="F288">
        <v>71</v>
      </c>
      <c r="G288">
        <v>5739</v>
      </c>
      <c r="H288" t="s">
        <v>48</v>
      </c>
      <c r="I288" t="s">
        <v>23</v>
      </c>
      <c r="J288" s="1">
        <v>44939</v>
      </c>
      <c r="K288" t="s">
        <v>27</v>
      </c>
      <c r="L288" t="s">
        <v>31</v>
      </c>
      <c r="M288" t="s">
        <v>31</v>
      </c>
      <c r="N288">
        <v>9</v>
      </c>
      <c r="O288">
        <v>10</v>
      </c>
      <c r="P288">
        <v>36</v>
      </c>
      <c r="Q288" t="s">
        <v>27</v>
      </c>
      <c r="R288">
        <f>IF(tblSubscriptions[[#This Row],[churned]] = "Yes",1,0)</f>
        <v>0</v>
      </c>
      <c r="S288">
        <f t="shared" si="20"/>
        <v>1</v>
      </c>
      <c r="T288">
        <f t="shared" si="21"/>
        <v>0</v>
      </c>
      <c r="U288">
        <f t="shared" si="22"/>
        <v>0</v>
      </c>
      <c r="V288">
        <f t="shared" si="23"/>
        <v>1</v>
      </c>
      <c r="W288" t="str">
        <f t="shared" si="24"/>
        <v>Medium Risk</v>
      </c>
    </row>
    <row r="289" spans="1:23">
      <c r="A289" t="s">
        <v>482</v>
      </c>
      <c r="B289" t="s">
        <v>39</v>
      </c>
      <c r="C289" t="s">
        <v>19</v>
      </c>
      <c r="D289" t="s">
        <v>46</v>
      </c>
      <c r="E289" t="s">
        <v>41</v>
      </c>
      <c r="F289">
        <v>19</v>
      </c>
      <c r="G289">
        <v>736</v>
      </c>
      <c r="H289" t="s">
        <v>22</v>
      </c>
      <c r="I289" t="s">
        <v>23</v>
      </c>
      <c r="J289" s="1">
        <v>45738</v>
      </c>
      <c r="K289" t="s">
        <v>27</v>
      </c>
      <c r="L289" t="s">
        <v>31</v>
      </c>
      <c r="M289" t="s">
        <v>31</v>
      </c>
      <c r="N289">
        <v>12</v>
      </c>
      <c r="O289">
        <v>9</v>
      </c>
      <c r="P289">
        <v>47</v>
      </c>
      <c r="Q289" t="s">
        <v>24</v>
      </c>
      <c r="R289">
        <f>IF(tblSubscriptions[[#This Row],[churned]] = "Yes",1,0)</f>
        <v>0</v>
      </c>
      <c r="S289">
        <f t="shared" si="20"/>
        <v>1</v>
      </c>
      <c r="T289">
        <f t="shared" si="21"/>
        <v>0</v>
      </c>
      <c r="U289">
        <f t="shared" si="22"/>
        <v>1</v>
      </c>
      <c r="V289">
        <f t="shared" si="23"/>
        <v>2</v>
      </c>
      <c r="W289" t="str">
        <f t="shared" si="24"/>
        <v>High Risk</v>
      </c>
    </row>
    <row r="290" spans="1:23">
      <c r="A290" t="s">
        <v>483</v>
      </c>
      <c r="B290" t="s">
        <v>18</v>
      </c>
      <c r="C290" t="s">
        <v>19</v>
      </c>
      <c r="D290" t="s">
        <v>44</v>
      </c>
      <c r="E290" t="s">
        <v>21</v>
      </c>
      <c r="F290">
        <v>51</v>
      </c>
      <c r="G290">
        <v>672</v>
      </c>
      <c r="H290" t="s">
        <v>22</v>
      </c>
      <c r="I290" t="s">
        <v>23</v>
      </c>
      <c r="J290" s="1">
        <v>44567</v>
      </c>
      <c r="K290" t="s">
        <v>27</v>
      </c>
      <c r="L290" t="s">
        <v>31</v>
      </c>
      <c r="M290" t="s">
        <v>31</v>
      </c>
      <c r="N290">
        <v>3</v>
      </c>
      <c r="O290">
        <v>7</v>
      </c>
      <c r="P290">
        <v>75</v>
      </c>
      <c r="Q290" t="s">
        <v>27</v>
      </c>
      <c r="R290">
        <f>IF(tblSubscriptions[[#This Row],[churned]] = "Yes",1,0)</f>
        <v>0</v>
      </c>
      <c r="S290">
        <f t="shared" si="20"/>
        <v>0</v>
      </c>
      <c r="T290">
        <f t="shared" si="21"/>
        <v>0</v>
      </c>
      <c r="U290">
        <f t="shared" si="22"/>
        <v>0</v>
      </c>
      <c r="V290">
        <f t="shared" si="23"/>
        <v>0</v>
      </c>
      <c r="W290" t="str">
        <f t="shared" si="24"/>
        <v>Low Risk</v>
      </c>
    </row>
    <row r="291" spans="1:23">
      <c r="A291" t="s">
        <v>484</v>
      </c>
      <c r="B291" t="s">
        <v>39</v>
      </c>
      <c r="C291" t="s">
        <v>29</v>
      </c>
      <c r="D291" t="s">
        <v>97</v>
      </c>
      <c r="E291" t="s">
        <v>50</v>
      </c>
      <c r="F291">
        <v>55</v>
      </c>
      <c r="G291">
        <v>1539</v>
      </c>
      <c r="H291" t="s">
        <v>70</v>
      </c>
      <c r="I291" t="s">
        <v>84</v>
      </c>
      <c r="J291" s="1">
        <v>44771</v>
      </c>
      <c r="K291" t="s">
        <v>24</v>
      </c>
      <c r="L291" t="s">
        <v>485</v>
      </c>
      <c r="M291" t="s">
        <v>52</v>
      </c>
      <c r="N291">
        <v>8</v>
      </c>
      <c r="O291">
        <v>2</v>
      </c>
      <c r="P291">
        <v>34</v>
      </c>
      <c r="Q291" t="s">
        <v>27</v>
      </c>
      <c r="R291">
        <f>IF(tblSubscriptions[[#This Row],[churned]] = "Yes",1,0)</f>
        <v>1</v>
      </c>
      <c r="S291">
        <f t="shared" si="20"/>
        <v>1</v>
      </c>
      <c r="T291">
        <f t="shared" si="21"/>
        <v>1</v>
      </c>
      <c r="U291">
        <f t="shared" si="22"/>
        <v>0</v>
      </c>
      <c r="V291">
        <f t="shared" si="23"/>
        <v>2</v>
      </c>
      <c r="W291" t="str">
        <f t="shared" si="24"/>
        <v>High Risk</v>
      </c>
    </row>
    <row r="292" spans="1:23">
      <c r="A292" t="s">
        <v>486</v>
      </c>
      <c r="B292" t="s">
        <v>87</v>
      </c>
      <c r="C292" t="s">
        <v>29</v>
      </c>
      <c r="D292" t="s">
        <v>34</v>
      </c>
      <c r="E292" t="s">
        <v>21</v>
      </c>
      <c r="F292">
        <v>16</v>
      </c>
      <c r="G292">
        <v>1378</v>
      </c>
      <c r="H292" t="s">
        <v>124</v>
      </c>
      <c r="I292" t="s">
        <v>23</v>
      </c>
      <c r="J292" s="1">
        <v>44938</v>
      </c>
      <c r="K292" t="s">
        <v>27</v>
      </c>
      <c r="L292" t="s">
        <v>31</v>
      </c>
      <c r="M292" t="s">
        <v>31</v>
      </c>
      <c r="N292">
        <v>9</v>
      </c>
      <c r="O292">
        <v>6</v>
      </c>
      <c r="P292">
        <v>31</v>
      </c>
      <c r="Q292" t="s">
        <v>27</v>
      </c>
      <c r="R292">
        <f>IF(tblSubscriptions[[#This Row],[churned]] = "Yes",1,0)</f>
        <v>0</v>
      </c>
      <c r="S292">
        <f t="shared" si="20"/>
        <v>1</v>
      </c>
      <c r="T292">
        <f t="shared" si="21"/>
        <v>1</v>
      </c>
      <c r="U292">
        <f t="shared" si="22"/>
        <v>0</v>
      </c>
      <c r="V292">
        <f t="shared" si="23"/>
        <v>2</v>
      </c>
      <c r="W292" t="str">
        <f t="shared" si="24"/>
        <v>High Risk</v>
      </c>
    </row>
    <row r="293" spans="1:23">
      <c r="A293" t="s">
        <v>487</v>
      </c>
      <c r="B293" t="s">
        <v>18</v>
      </c>
      <c r="C293" t="s">
        <v>19</v>
      </c>
      <c r="D293" t="s">
        <v>46</v>
      </c>
      <c r="E293" t="s">
        <v>47</v>
      </c>
      <c r="F293">
        <v>8</v>
      </c>
      <c r="G293">
        <v>162</v>
      </c>
      <c r="H293" t="s">
        <v>30</v>
      </c>
      <c r="I293" t="s">
        <v>23</v>
      </c>
      <c r="J293" s="1">
        <v>45110</v>
      </c>
      <c r="K293" t="s">
        <v>24</v>
      </c>
      <c r="L293" t="s">
        <v>488</v>
      </c>
      <c r="M293" t="s">
        <v>58</v>
      </c>
      <c r="N293">
        <v>3</v>
      </c>
      <c r="O293">
        <v>1</v>
      </c>
      <c r="P293">
        <v>32</v>
      </c>
      <c r="Q293" t="s">
        <v>27</v>
      </c>
      <c r="R293">
        <f>IF(tblSubscriptions[[#This Row],[churned]] = "Yes",1,0)</f>
        <v>1</v>
      </c>
      <c r="S293">
        <f t="shared" si="20"/>
        <v>1</v>
      </c>
      <c r="T293">
        <f t="shared" si="21"/>
        <v>1</v>
      </c>
      <c r="U293">
        <f t="shared" si="22"/>
        <v>0</v>
      </c>
      <c r="V293">
        <f t="shared" si="23"/>
        <v>2</v>
      </c>
      <c r="W293" t="str">
        <f t="shared" si="24"/>
        <v>High Risk</v>
      </c>
    </row>
    <row r="294" spans="1:23">
      <c r="A294" t="s">
        <v>489</v>
      </c>
      <c r="B294" t="s">
        <v>18</v>
      </c>
      <c r="C294" t="s">
        <v>19</v>
      </c>
      <c r="D294" t="s">
        <v>34</v>
      </c>
      <c r="E294" t="s">
        <v>41</v>
      </c>
      <c r="F294">
        <v>24</v>
      </c>
      <c r="G294">
        <v>352</v>
      </c>
      <c r="H294" t="s">
        <v>30</v>
      </c>
      <c r="I294" t="s">
        <v>23</v>
      </c>
      <c r="J294" s="1">
        <v>44613</v>
      </c>
      <c r="K294" t="s">
        <v>24</v>
      </c>
      <c r="L294" t="s">
        <v>116</v>
      </c>
      <c r="M294" t="s">
        <v>58</v>
      </c>
      <c r="N294">
        <v>8</v>
      </c>
      <c r="O294">
        <v>1</v>
      </c>
      <c r="P294">
        <v>35</v>
      </c>
      <c r="Q294" t="s">
        <v>27</v>
      </c>
      <c r="R294">
        <f>IF(tblSubscriptions[[#This Row],[churned]] = "Yes",1,0)</f>
        <v>1</v>
      </c>
      <c r="S294">
        <f t="shared" si="20"/>
        <v>1</v>
      </c>
      <c r="T294">
        <f t="shared" si="21"/>
        <v>1</v>
      </c>
      <c r="U294">
        <f t="shared" si="22"/>
        <v>0</v>
      </c>
      <c r="V294">
        <f t="shared" si="23"/>
        <v>2</v>
      </c>
      <c r="W294" t="str">
        <f t="shared" si="24"/>
        <v>High Risk</v>
      </c>
    </row>
    <row r="295" spans="1:23">
      <c r="A295" t="s">
        <v>490</v>
      </c>
      <c r="B295" t="s">
        <v>39</v>
      </c>
      <c r="C295" t="s">
        <v>19</v>
      </c>
      <c r="D295" t="s">
        <v>34</v>
      </c>
      <c r="E295" t="s">
        <v>21</v>
      </c>
      <c r="F295">
        <v>51</v>
      </c>
      <c r="G295">
        <v>1692</v>
      </c>
      <c r="H295" t="s">
        <v>48</v>
      </c>
      <c r="I295" t="s">
        <v>23</v>
      </c>
      <c r="J295" s="1">
        <v>45891</v>
      </c>
      <c r="K295" t="s">
        <v>24</v>
      </c>
      <c r="L295" t="s">
        <v>491</v>
      </c>
      <c r="M295" t="s">
        <v>58</v>
      </c>
      <c r="N295">
        <v>1</v>
      </c>
      <c r="O295">
        <v>4</v>
      </c>
      <c r="P295">
        <v>25</v>
      </c>
      <c r="Q295" t="s">
        <v>27</v>
      </c>
      <c r="R295">
        <f>IF(tblSubscriptions[[#This Row],[churned]] = "Yes",1,0)</f>
        <v>1</v>
      </c>
      <c r="S295">
        <f t="shared" si="20"/>
        <v>1</v>
      </c>
      <c r="T295">
        <f t="shared" si="21"/>
        <v>1</v>
      </c>
      <c r="U295">
        <f t="shared" si="22"/>
        <v>0</v>
      </c>
      <c r="V295">
        <f t="shared" si="23"/>
        <v>2</v>
      </c>
      <c r="W295" t="str">
        <f t="shared" si="24"/>
        <v>High Risk</v>
      </c>
    </row>
    <row r="296" spans="1:23">
      <c r="A296" t="s">
        <v>492</v>
      </c>
      <c r="B296" t="s">
        <v>33</v>
      </c>
      <c r="C296" t="s">
        <v>19</v>
      </c>
      <c r="D296" t="s">
        <v>44</v>
      </c>
      <c r="E296" t="s">
        <v>50</v>
      </c>
      <c r="F296">
        <v>34</v>
      </c>
      <c r="G296">
        <v>173</v>
      </c>
      <c r="H296" t="s">
        <v>48</v>
      </c>
      <c r="I296" t="s">
        <v>42</v>
      </c>
      <c r="J296" s="1">
        <v>44846</v>
      </c>
      <c r="K296" t="s">
        <v>24</v>
      </c>
      <c r="L296" t="s">
        <v>493</v>
      </c>
      <c r="M296" t="s">
        <v>62</v>
      </c>
      <c r="N296">
        <v>6</v>
      </c>
      <c r="O296">
        <v>4</v>
      </c>
      <c r="P296">
        <v>12</v>
      </c>
      <c r="Q296" t="s">
        <v>27</v>
      </c>
      <c r="R296">
        <f>IF(tblSubscriptions[[#This Row],[churned]] = "Yes",1,0)</f>
        <v>1</v>
      </c>
      <c r="S296">
        <f t="shared" si="20"/>
        <v>1</v>
      </c>
      <c r="T296">
        <f t="shared" si="21"/>
        <v>1</v>
      </c>
      <c r="U296">
        <f t="shared" si="22"/>
        <v>0</v>
      </c>
      <c r="V296">
        <f t="shared" si="23"/>
        <v>2</v>
      </c>
      <c r="W296" t="str">
        <f t="shared" si="24"/>
        <v>High Risk</v>
      </c>
    </row>
    <row r="297" spans="1:23">
      <c r="A297" t="s">
        <v>494</v>
      </c>
      <c r="B297" t="s">
        <v>33</v>
      </c>
      <c r="C297" t="s">
        <v>19</v>
      </c>
      <c r="D297" t="s">
        <v>73</v>
      </c>
      <c r="E297" t="s">
        <v>50</v>
      </c>
      <c r="F297">
        <v>146</v>
      </c>
      <c r="G297">
        <v>660</v>
      </c>
      <c r="H297" t="s">
        <v>36</v>
      </c>
      <c r="I297" t="s">
        <v>23</v>
      </c>
      <c r="J297" s="1">
        <v>45218</v>
      </c>
      <c r="K297" t="s">
        <v>24</v>
      </c>
      <c r="L297" t="s">
        <v>495</v>
      </c>
      <c r="M297" t="s">
        <v>26</v>
      </c>
      <c r="N297">
        <v>8</v>
      </c>
      <c r="O297">
        <v>3</v>
      </c>
      <c r="P297">
        <v>13</v>
      </c>
      <c r="Q297" t="s">
        <v>27</v>
      </c>
      <c r="R297">
        <f>IF(tblSubscriptions[[#This Row],[churned]] = "Yes",1,0)</f>
        <v>1</v>
      </c>
      <c r="S297">
        <f t="shared" si="20"/>
        <v>1</v>
      </c>
      <c r="T297">
        <f t="shared" si="21"/>
        <v>1</v>
      </c>
      <c r="U297">
        <f t="shared" si="22"/>
        <v>0</v>
      </c>
      <c r="V297">
        <f t="shared" si="23"/>
        <v>2</v>
      </c>
      <c r="W297" t="str">
        <f t="shared" si="24"/>
        <v>High Risk</v>
      </c>
    </row>
    <row r="298" spans="1:23">
      <c r="A298" t="s">
        <v>496</v>
      </c>
      <c r="B298" t="s">
        <v>39</v>
      </c>
      <c r="C298" t="s">
        <v>19</v>
      </c>
      <c r="D298" t="s">
        <v>46</v>
      </c>
      <c r="E298" t="s">
        <v>21</v>
      </c>
      <c r="F298">
        <v>36</v>
      </c>
      <c r="G298">
        <v>1244</v>
      </c>
      <c r="H298" t="s">
        <v>70</v>
      </c>
      <c r="I298" t="s">
        <v>23</v>
      </c>
      <c r="J298" s="1">
        <v>45645</v>
      </c>
      <c r="K298" t="s">
        <v>27</v>
      </c>
      <c r="L298" t="s">
        <v>31</v>
      </c>
      <c r="M298" t="s">
        <v>31</v>
      </c>
      <c r="N298">
        <v>6</v>
      </c>
      <c r="O298">
        <v>10</v>
      </c>
      <c r="P298">
        <v>82</v>
      </c>
      <c r="Q298" t="s">
        <v>27</v>
      </c>
      <c r="R298">
        <f>IF(tblSubscriptions[[#This Row],[churned]] = "Yes",1,0)</f>
        <v>0</v>
      </c>
      <c r="S298">
        <f t="shared" si="20"/>
        <v>0</v>
      </c>
      <c r="T298">
        <f t="shared" si="21"/>
        <v>0</v>
      </c>
      <c r="U298">
        <f t="shared" si="22"/>
        <v>0</v>
      </c>
      <c r="V298">
        <f t="shared" si="23"/>
        <v>0</v>
      </c>
      <c r="W298" t="str">
        <f t="shared" si="24"/>
        <v>Low Risk</v>
      </c>
    </row>
    <row r="299" spans="1:23">
      <c r="A299" t="s">
        <v>497</v>
      </c>
      <c r="B299" t="s">
        <v>33</v>
      </c>
      <c r="C299" t="s">
        <v>19</v>
      </c>
      <c r="D299" t="s">
        <v>73</v>
      </c>
      <c r="E299" t="s">
        <v>21</v>
      </c>
      <c r="F299">
        <v>70</v>
      </c>
      <c r="G299">
        <v>329</v>
      </c>
      <c r="H299" t="s">
        <v>30</v>
      </c>
      <c r="I299" t="s">
        <v>84</v>
      </c>
      <c r="J299" s="1">
        <v>45105</v>
      </c>
      <c r="K299" t="s">
        <v>24</v>
      </c>
      <c r="L299" t="s">
        <v>498</v>
      </c>
      <c r="M299" t="s">
        <v>62</v>
      </c>
      <c r="N299">
        <v>15</v>
      </c>
      <c r="O299">
        <v>2</v>
      </c>
      <c r="P299">
        <v>11</v>
      </c>
      <c r="Q299" t="s">
        <v>27</v>
      </c>
      <c r="R299">
        <f>IF(tblSubscriptions[[#This Row],[churned]] = "Yes",1,0)</f>
        <v>1</v>
      </c>
      <c r="S299">
        <f t="shared" si="20"/>
        <v>1</v>
      </c>
      <c r="T299">
        <f t="shared" si="21"/>
        <v>1</v>
      </c>
      <c r="U299">
        <f t="shared" si="22"/>
        <v>1</v>
      </c>
      <c r="V299">
        <f t="shared" si="23"/>
        <v>3</v>
      </c>
      <c r="W299" t="str">
        <f t="shared" si="24"/>
        <v>High Risk</v>
      </c>
    </row>
    <row r="300" spans="1:23">
      <c r="A300" t="s">
        <v>499</v>
      </c>
      <c r="B300" t="s">
        <v>39</v>
      </c>
      <c r="C300" t="s">
        <v>19</v>
      </c>
      <c r="D300" t="s">
        <v>20</v>
      </c>
      <c r="E300" t="s">
        <v>41</v>
      </c>
      <c r="F300">
        <v>13</v>
      </c>
      <c r="G300">
        <v>557</v>
      </c>
      <c r="H300" t="s">
        <v>22</v>
      </c>
      <c r="I300" t="s">
        <v>23</v>
      </c>
      <c r="J300" s="1">
        <v>44680</v>
      </c>
      <c r="K300" t="s">
        <v>24</v>
      </c>
      <c r="L300" t="s">
        <v>500</v>
      </c>
      <c r="M300" t="s">
        <v>26</v>
      </c>
      <c r="N300">
        <v>6</v>
      </c>
      <c r="O300">
        <v>6</v>
      </c>
      <c r="P300">
        <v>43</v>
      </c>
      <c r="Q300" t="s">
        <v>27</v>
      </c>
      <c r="R300">
        <f>IF(tblSubscriptions[[#This Row],[churned]] = "Yes",1,0)</f>
        <v>1</v>
      </c>
      <c r="S300">
        <f t="shared" si="20"/>
        <v>1</v>
      </c>
      <c r="T300">
        <f t="shared" si="21"/>
        <v>1</v>
      </c>
      <c r="U300">
        <f t="shared" si="22"/>
        <v>0</v>
      </c>
      <c r="V300">
        <f t="shared" si="23"/>
        <v>2</v>
      </c>
      <c r="W300" t="str">
        <f t="shared" si="24"/>
        <v>High Risk</v>
      </c>
    </row>
    <row r="301" spans="1:23">
      <c r="A301" t="s">
        <v>501</v>
      </c>
      <c r="B301" t="s">
        <v>33</v>
      </c>
      <c r="C301" t="s">
        <v>19</v>
      </c>
      <c r="D301" t="s">
        <v>44</v>
      </c>
      <c r="E301" t="s">
        <v>41</v>
      </c>
      <c r="F301">
        <v>23</v>
      </c>
      <c r="G301">
        <v>125</v>
      </c>
      <c r="H301" t="s">
        <v>70</v>
      </c>
      <c r="I301" t="s">
        <v>42</v>
      </c>
      <c r="J301" s="1">
        <v>45814</v>
      </c>
      <c r="K301" t="s">
        <v>27</v>
      </c>
      <c r="L301" t="s">
        <v>31</v>
      </c>
      <c r="M301" t="s">
        <v>31</v>
      </c>
      <c r="N301">
        <v>11</v>
      </c>
      <c r="O301">
        <v>10</v>
      </c>
      <c r="P301">
        <v>44</v>
      </c>
      <c r="Q301" t="s">
        <v>27</v>
      </c>
      <c r="R301">
        <f>IF(tblSubscriptions[[#This Row],[churned]] = "Yes",1,0)</f>
        <v>0</v>
      </c>
      <c r="S301">
        <f t="shared" si="20"/>
        <v>1</v>
      </c>
      <c r="T301">
        <f t="shared" si="21"/>
        <v>0</v>
      </c>
      <c r="U301">
        <f t="shared" si="22"/>
        <v>1</v>
      </c>
      <c r="V301">
        <f t="shared" si="23"/>
        <v>2</v>
      </c>
      <c r="W301" t="str">
        <f t="shared" si="24"/>
        <v>High Risk</v>
      </c>
    </row>
    <row r="302" spans="1:23">
      <c r="A302" t="s">
        <v>502</v>
      </c>
      <c r="B302" t="s">
        <v>18</v>
      </c>
      <c r="C302" t="s">
        <v>29</v>
      </c>
      <c r="D302" t="s">
        <v>83</v>
      </c>
      <c r="E302" t="s">
        <v>50</v>
      </c>
      <c r="F302">
        <v>108</v>
      </c>
      <c r="G302">
        <v>1145</v>
      </c>
      <c r="H302" t="s">
        <v>22</v>
      </c>
      <c r="I302" t="s">
        <v>23</v>
      </c>
      <c r="J302" s="1">
        <v>45640</v>
      </c>
      <c r="K302" t="s">
        <v>27</v>
      </c>
      <c r="L302" t="s">
        <v>31</v>
      </c>
      <c r="M302" t="s">
        <v>31</v>
      </c>
      <c r="N302">
        <v>3</v>
      </c>
      <c r="O302">
        <v>6</v>
      </c>
      <c r="P302">
        <v>32</v>
      </c>
      <c r="Q302" t="s">
        <v>24</v>
      </c>
      <c r="R302">
        <f>IF(tblSubscriptions[[#This Row],[churned]] = "Yes",1,0)</f>
        <v>0</v>
      </c>
      <c r="S302">
        <f t="shared" si="20"/>
        <v>1</v>
      </c>
      <c r="T302">
        <f t="shared" si="21"/>
        <v>1</v>
      </c>
      <c r="U302">
        <f t="shared" si="22"/>
        <v>0</v>
      </c>
      <c r="V302">
        <f t="shared" si="23"/>
        <v>2</v>
      </c>
      <c r="W302" t="str">
        <f t="shared" si="24"/>
        <v>High Risk</v>
      </c>
    </row>
    <row r="303" spans="1:23">
      <c r="A303" t="s">
        <v>503</v>
      </c>
      <c r="B303" t="s">
        <v>39</v>
      </c>
      <c r="C303" t="s">
        <v>29</v>
      </c>
      <c r="D303" t="s">
        <v>34</v>
      </c>
      <c r="E303" t="s">
        <v>41</v>
      </c>
      <c r="F303">
        <v>19</v>
      </c>
      <c r="G303">
        <v>626</v>
      </c>
      <c r="H303" t="s">
        <v>70</v>
      </c>
      <c r="I303" t="s">
        <v>23</v>
      </c>
      <c r="J303" s="1">
        <v>45024</v>
      </c>
      <c r="K303" t="s">
        <v>27</v>
      </c>
      <c r="L303" t="s">
        <v>31</v>
      </c>
      <c r="M303" t="s">
        <v>31</v>
      </c>
      <c r="N303">
        <v>8</v>
      </c>
      <c r="O303">
        <v>10</v>
      </c>
      <c r="P303">
        <v>53</v>
      </c>
      <c r="Q303" t="s">
        <v>27</v>
      </c>
      <c r="R303">
        <f>IF(tblSubscriptions[[#This Row],[churned]] = "Yes",1,0)</f>
        <v>0</v>
      </c>
      <c r="S303">
        <f t="shared" si="20"/>
        <v>0</v>
      </c>
      <c r="T303">
        <f t="shared" si="21"/>
        <v>0</v>
      </c>
      <c r="U303">
        <f t="shared" si="22"/>
        <v>0</v>
      </c>
      <c r="V303">
        <f t="shared" si="23"/>
        <v>0</v>
      </c>
      <c r="W303" t="str">
        <f t="shared" si="24"/>
        <v>Low Risk</v>
      </c>
    </row>
    <row r="304" spans="1:23">
      <c r="A304" t="s">
        <v>504</v>
      </c>
      <c r="B304" t="s">
        <v>39</v>
      </c>
      <c r="C304" t="s">
        <v>29</v>
      </c>
      <c r="D304" t="s">
        <v>97</v>
      </c>
      <c r="E304" t="s">
        <v>41</v>
      </c>
      <c r="F304">
        <v>22</v>
      </c>
      <c r="G304">
        <v>702</v>
      </c>
      <c r="H304" t="s">
        <v>124</v>
      </c>
      <c r="I304" t="s">
        <v>84</v>
      </c>
      <c r="J304" s="1">
        <v>44585</v>
      </c>
      <c r="K304" t="s">
        <v>24</v>
      </c>
      <c r="L304" t="s">
        <v>505</v>
      </c>
      <c r="M304" t="s">
        <v>52</v>
      </c>
      <c r="N304">
        <v>1</v>
      </c>
      <c r="O304">
        <v>5</v>
      </c>
      <c r="P304">
        <v>10</v>
      </c>
      <c r="Q304" t="s">
        <v>27</v>
      </c>
      <c r="R304">
        <f>IF(tblSubscriptions[[#This Row],[churned]] = "Yes",1,0)</f>
        <v>1</v>
      </c>
      <c r="S304">
        <f t="shared" si="20"/>
        <v>1</v>
      </c>
      <c r="T304">
        <f t="shared" si="21"/>
        <v>1</v>
      </c>
      <c r="U304">
        <f t="shared" si="22"/>
        <v>0</v>
      </c>
      <c r="V304">
        <f t="shared" si="23"/>
        <v>2</v>
      </c>
      <c r="W304" t="str">
        <f t="shared" si="24"/>
        <v>High Risk</v>
      </c>
    </row>
    <row r="305" spans="1:23">
      <c r="A305" t="s">
        <v>506</v>
      </c>
      <c r="B305" t="s">
        <v>18</v>
      </c>
      <c r="C305" t="s">
        <v>29</v>
      </c>
      <c r="D305" t="s">
        <v>56</v>
      </c>
      <c r="E305" t="s">
        <v>41</v>
      </c>
      <c r="F305">
        <v>29</v>
      </c>
      <c r="G305">
        <v>349</v>
      </c>
      <c r="H305" t="s">
        <v>48</v>
      </c>
      <c r="I305" t="s">
        <v>23</v>
      </c>
      <c r="J305" s="1">
        <v>44898</v>
      </c>
      <c r="K305" t="s">
        <v>24</v>
      </c>
      <c r="L305" t="s">
        <v>507</v>
      </c>
      <c r="M305" t="s">
        <v>75</v>
      </c>
      <c r="N305">
        <v>14</v>
      </c>
      <c r="O305">
        <v>3</v>
      </c>
      <c r="P305">
        <v>32</v>
      </c>
      <c r="Q305" t="s">
        <v>27</v>
      </c>
      <c r="R305">
        <f>IF(tblSubscriptions[[#This Row],[churned]] = "Yes",1,0)</f>
        <v>1</v>
      </c>
      <c r="S305">
        <f t="shared" si="20"/>
        <v>1</v>
      </c>
      <c r="T305">
        <f t="shared" si="21"/>
        <v>1</v>
      </c>
      <c r="U305">
        <f t="shared" si="22"/>
        <v>1</v>
      </c>
      <c r="V305">
        <f t="shared" si="23"/>
        <v>3</v>
      </c>
      <c r="W305" t="str">
        <f t="shared" si="24"/>
        <v>High Risk</v>
      </c>
    </row>
    <row r="306" spans="1:23">
      <c r="A306" t="s">
        <v>508</v>
      </c>
      <c r="B306" t="s">
        <v>39</v>
      </c>
      <c r="C306" t="s">
        <v>19</v>
      </c>
      <c r="D306" t="s">
        <v>44</v>
      </c>
      <c r="E306" t="s">
        <v>50</v>
      </c>
      <c r="F306">
        <v>99</v>
      </c>
      <c r="G306">
        <v>3124</v>
      </c>
      <c r="H306" t="s">
        <v>36</v>
      </c>
      <c r="I306" t="s">
        <v>23</v>
      </c>
      <c r="J306" s="1">
        <v>45712</v>
      </c>
      <c r="K306" t="s">
        <v>27</v>
      </c>
      <c r="L306" t="s">
        <v>31</v>
      </c>
      <c r="M306" t="s">
        <v>31</v>
      </c>
      <c r="N306">
        <v>8</v>
      </c>
      <c r="O306">
        <v>7</v>
      </c>
      <c r="P306">
        <v>17</v>
      </c>
      <c r="Q306" t="s">
        <v>27</v>
      </c>
      <c r="R306">
        <f>IF(tblSubscriptions[[#This Row],[churned]] = "Yes",1,0)</f>
        <v>0</v>
      </c>
      <c r="S306">
        <f t="shared" si="20"/>
        <v>1</v>
      </c>
      <c r="T306">
        <f t="shared" si="21"/>
        <v>0</v>
      </c>
      <c r="U306">
        <f t="shared" si="22"/>
        <v>0</v>
      </c>
      <c r="V306">
        <f t="shared" si="23"/>
        <v>1</v>
      </c>
      <c r="W306" t="str">
        <f t="shared" si="24"/>
        <v>Medium Risk</v>
      </c>
    </row>
    <row r="307" spans="1:23">
      <c r="A307" t="s">
        <v>509</v>
      </c>
      <c r="B307" t="s">
        <v>39</v>
      </c>
      <c r="C307" t="s">
        <v>19</v>
      </c>
      <c r="D307" t="s">
        <v>83</v>
      </c>
      <c r="E307" t="s">
        <v>41</v>
      </c>
      <c r="F307">
        <v>26</v>
      </c>
      <c r="G307">
        <v>945</v>
      </c>
      <c r="H307" t="s">
        <v>22</v>
      </c>
      <c r="I307" t="s">
        <v>42</v>
      </c>
      <c r="J307" s="1">
        <v>45641</v>
      </c>
      <c r="K307" t="s">
        <v>27</v>
      </c>
      <c r="L307" t="s">
        <v>31</v>
      </c>
      <c r="M307" t="s">
        <v>31</v>
      </c>
      <c r="N307">
        <v>4</v>
      </c>
      <c r="O307">
        <v>6</v>
      </c>
      <c r="P307">
        <v>41</v>
      </c>
      <c r="Q307" t="s">
        <v>27</v>
      </c>
      <c r="R307">
        <f>IF(tblSubscriptions[[#This Row],[churned]] = "Yes",1,0)</f>
        <v>0</v>
      </c>
      <c r="S307">
        <f t="shared" si="20"/>
        <v>1</v>
      </c>
      <c r="T307">
        <f t="shared" si="21"/>
        <v>1</v>
      </c>
      <c r="U307">
        <f t="shared" si="22"/>
        <v>0</v>
      </c>
      <c r="V307">
        <f t="shared" si="23"/>
        <v>2</v>
      </c>
      <c r="W307" t="str">
        <f t="shared" si="24"/>
        <v>High Risk</v>
      </c>
    </row>
    <row r="308" spans="1:23">
      <c r="A308" t="s">
        <v>510</v>
      </c>
      <c r="B308" t="s">
        <v>87</v>
      </c>
      <c r="C308" t="s">
        <v>29</v>
      </c>
      <c r="D308" t="s">
        <v>44</v>
      </c>
      <c r="E308" t="s">
        <v>21</v>
      </c>
      <c r="F308">
        <v>50</v>
      </c>
      <c r="G308">
        <v>3542</v>
      </c>
      <c r="H308" t="s">
        <v>22</v>
      </c>
      <c r="I308" t="s">
        <v>23</v>
      </c>
      <c r="J308" s="1">
        <v>45697</v>
      </c>
      <c r="K308" t="s">
        <v>27</v>
      </c>
      <c r="L308" t="s">
        <v>31</v>
      </c>
      <c r="M308" t="s">
        <v>31</v>
      </c>
      <c r="N308">
        <v>9</v>
      </c>
      <c r="O308">
        <v>9</v>
      </c>
      <c r="P308">
        <v>36</v>
      </c>
      <c r="Q308" t="s">
        <v>27</v>
      </c>
      <c r="R308">
        <f>IF(tblSubscriptions[[#This Row],[churned]] = "Yes",1,0)</f>
        <v>0</v>
      </c>
      <c r="S308">
        <f t="shared" si="20"/>
        <v>1</v>
      </c>
      <c r="T308">
        <f t="shared" si="21"/>
        <v>0</v>
      </c>
      <c r="U308">
        <f t="shared" si="22"/>
        <v>0</v>
      </c>
      <c r="V308">
        <f t="shared" si="23"/>
        <v>1</v>
      </c>
      <c r="W308" t="str">
        <f t="shared" si="24"/>
        <v>Medium Risk</v>
      </c>
    </row>
    <row r="309" spans="1:23">
      <c r="A309" t="s">
        <v>511</v>
      </c>
      <c r="B309" t="s">
        <v>39</v>
      </c>
      <c r="C309" t="s">
        <v>29</v>
      </c>
      <c r="D309" t="s">
        <v>97</v>
      </c>
      <c r="E309" t="s">
        <v>41</v>
      </c>
      <c r="F309">
        <v>21</v>
      </c>
      <c r="G309">
        <v>677</v>
      </c>
      <c r="H309" t="s">
        <v>70</v>
      </c>
      <c r="I309" t="s">
        <v>23</v>
      </c>
      <c r="J309" s="1">
        <v>45920</v>
      </c>
      <c r="K309" t="s">
        <v>27</v>
      </c>
      <c r="L309" t="s">
        <v>31</v>
      </c>
      <c r="M309" t="s">
        <v>31</v>
      </c>
      <c r="N309">
        <v>0</v>
      </c>
      <c r="O309">
        <v>8</v>
      </c>
      <c r="P309">
        <v>91</v>
      </c>
      <c r="Q309" t="s">
        <v>27</v>
      </c>
      <c r="R309">
        <f>IF(tblSubscriptions[[#This Row],[churned]] = "Yes",1,0)</f>
        <v>0</v>
      </c>
      <c r="S309">
        <f t="shared" si="20"/>
        <v>0</v>
      </c>
      <c r="T309">
        <f t="shared" si="21"/>
        <v>0</v>
      </c>
      <c r="U309">
        <f t="shared" si="22"/>
        <v>0</v>
      </c>
      <c r="V309">
        <f t="shared" si="23"/>
        <v>0</v>
      </c>
      <c r="W309" t="str">
        <f t="shared" si="24"/>
        <v>Low Risk</v>
      </c>
    </row>
    <row r="310" spans="1:23">
      <c r="A310" t="s">
        <v>512</v>
      </c>
      <c r="B310" t="s">
        <v>33</v>
      </c>
      <c r="C310" t="s">
        <v>29</v>
      </c>
      <c r="D310" t="s">
        <v>44</v>
      </c>
      <c r="E310" t="s">
        <v>47</v>
      </c>
      <c r="F310">
        <v>7</v>
      </c>
      <c r="G310">
        <v>47</v>
      </c>
      <c r="H310" t="s">
        <v>70</v>
      </c>
      <c r="I310" t="s">
        <v>23</v>
      </c>
      <c r="J310" s="1">
        <v>45172</v>
      </c>
      <c r="K310" t="s">
        <v>24</v>
      </c>
      <c r="L310" t="s">
        <v>513</v>
      </c>
      <c r="M310" t="s">
        <v>52</v>
      </c>
      <c r="N310">
        <v>5</v>
      </c>
      <c r="O310">
        <v>2</v>
      </c>
      <c r="P310">
        <v>41</v>
      </c>
      <c r="Q310" t="s">
        <v>27</v>
      </c>
      <c r="R310">
        <f>IF(tblSubscriptions[[#This Row],[churned]] = "Yes",1,0)</f>
        <v>1</v>
      </c>
      <c r="S310">
        <f t="shared" si="20"/>
        <v>1</v>
      </c>
      <c r="T310">
        <f t="shared" si="21"/>
        <v>1</v>
      </c>
      <c r="U310">
        <f t="shared" si="22"/>
        <v>0</v>
      </c>
      <c r="V310">
        <f t="shared" si="23"/>
        <v>2</v>
      </c>
      <c r="W310" t="str">
        <f t="shared" si="24"/>
        <v>High Risk</v>
      </c>
    </row>
    <row r="311" spans="1:23">
      <c r="A311" t="s">
        <v>514</v>
      </c>
      <c r="B311" t="s">
        <v>33</v>
      </c>
      <c r="C311" t="s">
        <v>19</v>
      </c>
      <c r="D311" t="s">
        <v>83</v>
      </c>
      <c r="E311" t="s">
        <v>50</v>
      </c>
      <c r="F311">
        <v>71</v>
      </c>
      <c r="G311">
        <v>334</v>
      </c>
      <c r="H311" t="s">
        <v>30</v>
      </c>
      <c r="I311" t="s">
        <v>42</v>
      </c>
      <c r="J311" s="1">
        <v>45115</v>
      </c>
      <c r="K311" t="s">
        <v>24</v>
      </c>
      <c r="L311" t="s">
        <v>515</v>
      </c>
      <c r="M311" t="s">
        <v>75</v>
      </c>
      <c r="N311">
        <v>1</v>
      </c>
      <c r="O311">
        <v>3</v>
      </c>
      <c r="P311">
        <v>14</v>
      </c>
      <c r="Q311" t="s">
        <v>27</v>
      </c>
      <c r="R311">
        <f>IF(tblSubscriptions[[#This Row],[churned]] = "Yes",1,0)</f>
        <v>1</v>
      </c>
      <c r="S311">
        <f t="shared" si="20"/>
        <v>1</v>
      </c>
      <c r="T311">
        <f t="shared" si="21"/>
        <v>1</v>
      </c>
      <c r="U311">
        <f t="shared" si="22"/>
        <v>0</v>
      </c>
      <c r="V311">
        <f t="shared" si="23"/>
        <v>2</v>
      </c>
      <c r="W311" t="str">
        <f t="shared" si="24"/>
        <v>High Risk</v>
      </c>
    </row>
    <row r="312" spans="1:23">
      <c r="A312" t="s">
        <v>516</v>
      </c>
      <c r="B312" t="s">
        <v>18</v>
      </c>
      <c r="C312" t="s">
        <v>29</v>
      </c>
      <c r="D312" t="s">
        <v>34</v>
      </c>
      <c r="E312" t="s">
        <v>35</v>
      </c>
      <c r="F312">
        <v>290</v>
      </c>
      <c r="G312">
        <v>2978</v>
      </c>
      <c r="H312" t="s">
        <v>48</v>
      </c>
      <c r="I312" t="s">
        <v>23</v>
      </c>
      <c r="J312" s="1">
        <v>45337</v>
      </c>
      <c r="K312" t="s">
        <v>27</v>
      </c>
      <c r="L312" t="s">
        <v>31</v>
      </c>
      <c r="M312" t="s">
        <v>31</v>
      </c>
      <c r="N312">
        <v>9</v>
      </c>
      <c r="O312">
        <v>9</v>
      </c>
      <c r="P312">
        <v>39</v>
      </c>
      <c r="Q312" t="s">
        <v>27</v>
      </c>
      <c r="R312">
        <f>IF(tblSubscriptions[[#This Row],[churned]] = "Yes",1,0)</f>
        <v>0</v>
      </c>
      <c r="S312">
        <f t="shared" si="20"/>
        <v>1</v>
      </c>
      <c r="T312">
        <f t="shared" si="21"/>
        <v>0</v>
      </c>
      <c r="U312">
        <f t="shared" si="22"/>
        <v>0</v>
      </c>
      <c r="V312">
        <f t="shared" si="23"/>
        <v>1</v>
      </c>
      <c r="W312" t="str">
        <f t="shared" si="24"/>
        <v>Medium Risk</v>
      </c>
    </row>
    <row r="313" spans="1:23">
      <c r="A313" t="s">
        <v>517</v>
      </c>
      <c r="B313" t="s">
        <v>33</v>
      </c>
      <c r="C313" t="s">
        <v>29</v>
      </c>
      <c r="D313" t="s">
        <v>40</v>
      </c>
      <c r="E313" t="s">
        <v>50</v>
      </c>
      <c r="F313">
        <v>36</v>
      </c>
      <c r="G313">
        <v>154</v>
      </c>
      <c r="H313" t="s">
        <v>36</v>
      </c>
      <c r="I313" t="s">
        <v>64</v>
      </c>
      <c r="J313" s="1">
        <v>45357</v>
      </c>
      <c r="K313" t="s">
        <v>24</v>
      </c>
      <c r="L313" t="s">
        <v>518</v>
      </c>
      <c r="M313" t="s">
        <v>58</v>
      </c>
      <c r="N313">
        <v>4</v>
      </c>
      <c r="O313">
        <v>5</v>
      </c>
      <c r="P313">
        <v>42</v>
      </c>
      <c r="Q313" t="s">
        <v>27</v>
      </c>
      <c r="R313">
        <f>IF(tblSubscriptions[[#This Row],[churned]] = "Yes",1,0)</f>
        <v>1</v>
      </c>
      <c r="S313">
        <f t="shared" si="20"/>
        <v>1</v>
      </c>
      <c r="T313">
        <f t="shared" si="21"/>
        <v>1</v>
      </c>
      <c r="U313">
        <f t="shared" si="22"/>
        <v>0</v>
      </c>
      <c r="V313">
        <f t="shared" si="23"/>
        <v>2</v>
      </c>
      <c r="W313" t="str">
        <f t="shared" si="24"/>
        <v>High Risk</v>
      </c>
    </row>
    <row r="314" spans="1:23">
      <c r="A314" t="s">
        <v>519</v>
      </c>
      <c r="B314" t="s">
        <v>33</v>
      </c>
      <c r="C314" t="s">
        <v>19</v>
      </c>
      <c r="D314" t="s">
        <v>73</v>
      </c>
      <c r="E314" t="s">
        <v>21</v>
      </c>
      <c r="F314">
        <v>74</v>
      </c>
      <c r="G314">
        <v>347</v>
      </c>
      <c r="H314" t="s">
        <v>22</v>
      </c>
      <c r="I314" t="s">
        <v>42</v>
      </c>
      <c r="J314" s="1">
        <v>45679</v>
      </c>
      <c r="K314" t="s">
        <v>27</v>
      </c>
      <c r="L314" t="s">
        <v>31</v>
      </c>
      <c r="M314" t="s">
        <v>31</v>
      </c>
      <c r="N314">
        <v>3</v>
      </c>
      <c r="O314">
        <v>4</v>
      </c>
      <c r="P314">
        <v>18</v>
      </c>
      <c r="Q314" t="s">
        <v>27</v>
      </c>
      <c r="R314">
        <f>IF(tblSubscriptions[[#This Row],[churned]] = "Yes",1,0)</f>
        <v>0</v>
      </c>
      <c r="S314">
        <f t="shared" si="20"/>
        <v>1</v>
      </c>
      <c r="T314">
        <f t="shared" si="21"/>
        <v>1</v>
      </c>
      <c r="U314">
        <f t="shared" si="22"/>
        <v>0</v>
      </c>
      <c r="V314">
        <f t="shared" si="23"/>
        <v>2</v>
      </c>
      <c r="W314" t="str">
        <f t="shared" si="24"/>
        <v>High Risk</v>
      </c>
    </row>
    <row r="315" spans="1:23">
      <c r="A315" t="s">
        <v>520</v>
      </c>
      <c r="B315" t="s">
        <v>33</v>
      </c>
      <c r="C315" t="s">
        <v>29</v>
      </c>
      <c r="D315" t="s">
        <v>56</v>
      </c>
      <c r="E315" t="s">
        <v>47</v>
      </c>
      <c r="F315">
        <v>8</v>
      </c>
      <c r="G315">
        <v>51</v>
      </c>
      <c r="H315" t="s">
        <v>48</v>
      </c>
      <c r="I315" t="s">
        <v>84</v>
      </c>
      <c r="J315" s="1">
        <v>45572</v>
      </c>
      <c r="K315" t="s">
        <v>27</v>
      </c>
      <c r="L315" t="s">
        <v>31</v>
      </c>
      <c r="M315" t="s">
        <v>31</v>
      </c>
      <c r="N315">
        <v>3</v>
      </c>
      <c r="O315">
        <v>2</v>
      </c>
      <c r="P315">
        <v>22</v>
      </c>
      <c r="Q315" t="s">
        <v>27</v>
      </c>
      <c r="R315">
        <f>IF(tblSubscriptions[[#This Row],[churned]] = "Yes",1,0)</f>
        <v>0</v>
      </c>
      <c r="S315">
        <f t="shared" si="20"/>
        <v>1</v>
      </c>
      <c r="T315">
        <f t="shared" si="21"/>
        <v>1</v>
      </c>
      <c r="U315">
        <f t="shared" si="22"/>
        <v>0</v>
      </c>
      <c r="V315">
        <f t="shared" si="23"/>
        <v>2</v>
      </c>
      <c r="W315" t="str">
        <f t="shared" si="24"/>
        <v>High Risk</v>
      </c>
    </row>
    <row r="316" spans="1:23">
      <c r="A316" t="s">
        <v>521</v>
      </c>
      <c r="B316" t="s">
        <v>33</v>
      </c>
      <c r="C316" t="s">
        <v>19</v>
      </c>
      <c r="D316" t="s">
        <v>73</v>
      </c>
      <c r="E316" t="s">
        <v>41</v>
      </c>
      <c r="F316">
        <v>13</v>
      </c>
      <c r="G316">
        <v>81</v>
      </c>
      <c r="H316" t="s">
        <v>70</v>
      </c>
      <c r="I316" t="s">
        <v>42</v>
      </c>
      <c r="J316" s="1">
        <v>45739</v>
      </c>
      <c r="K316" t="s">
        <v>24</v>
      </c>
      <c r="L316" t="s">
        <v>522</v>
      </c>
      <c r="M316" t="s">
        <v>66</v>
      </c>
      <c r="N316">
        <v>12</v>
      </c>
      <c r="O316">
        <v>3</v>
      </c>
      <c r="P316">
        <v>29</v>
      </c>
      <c r="Q316" t="s">
        <v>27</v>
      </c>
      <c r="R316">
        <f>IF(tblSubscriptions[[#This Row],[churned]] = "Yes",1,0)</f>
        <v>1</v>
      </c>
      <c r="S316">
        <f t="shared" si="20"/>
        <v>1</v>
      </c>
      <c r="T316">
        <f t="shared" si="21"/>
        <v>1</v>
      </c>
      <c r="U316">
        <f t="shared" si="22"/>
        <v>1</v>
      </c>
      <c r="V316">
        <f t="shared" si="23"/>
        <v>3</v>
      </c>
      <c r="W316" t="str">
        <f t="shared" si="24"/>
        <v>High Risk</v>
      </c>
    </row>
    <row r="317" spans="1:23">
      <c r="A317" t="s">
        <v>523</v>
      </c>
      <c r="B317" t="s">
        <v>18</v>
      </c>
      <c r="C317" t="s">
        <v>29</v>
      </c>
      <c r="D317" t="s">
        <v>34</v>
      </c>
      <c r="E317" t="s">
        <v>41</v>
      </c>
      <c r="F317">
        <v>33</v>
      </c>
      <c r="G317">
        <v>389</v>
      </c>
      <c r="H317" t="s">
        <v>36</v>
      </c>
      <c r="I317" t="s">
        <v>84</v>
      </c>
      <c r="J317" s="1">
        <v>44835</v>
      </c>
      <c r="K317" t="s">
        <v>24</v>
      </c>
      <c r="L317" t="s">
        <v>524</v>
      </c>
      <c r="M317" t="s">
        <v>52</v>
      </c>
      <c r="N317">
        <v>11</v>
      </c>
      <c r="O317">
        <v>6</v>
      </c>
      <c r="P317">
        <v>37</v>
      </c>
      <c r="Q317" t="s">
        <v>27</v>
      </c>
      <c r="R317">
        <f>IF(tblSubscriptions[[#This Row],[churned]] = "Yes",1,0)</f>
        <v>1</v>
      </c>
      <c r="S317">
        <f t="shared" si="20"/>
        <v>1</v>
      </c>
      <c r="T317">
        <f t="shared" si="21"/>
        <v>1</v>
      </c>
      <c r="U317">
        <f t="shared" si="22"/>
        <v>1</v>
      </c>
      <c r="V317">
        <f t="shared" si="23"/>
        <v>3</v>
      </c>
      <c r="W317" t="str">
        <f t="shared" si="24"/>
        <v>High Risk</v>
      </c>
    </row>
    <row r="318" spans="1:23">
      <c r="A318" t="s">
        <v>525</v>
      </c>
      <c r="B318" t="s">
        <v>33</v>
      </c>
      <c r="C318" t="s">
        <v>19</v>
      </c>
      <c r="D318" t="s">
        <v>34</v>
      </c>
      <c r="E318" t="s">
        <v>41</v>
      </c>
      <c r="F318">
        <v>31</v>
      </c>
      <c r="G318">
        <v>160</v>
      </c>
      <c r="H318" t="s">
        <v>36</v>
      </c>
      <c r="I318" t="s">
        <v>23</v>
      </c>
      <c r="J318" s="1">
        <v>45635</v>
      </c>
      <c r="K318" t="s">
        <v>24</v>
      </c>
      <c r="L318" t="s">
        <v>526</v>
      </c>
      <c r="M318" t="s">
        <v>26</v>
      </c>
      <c r="N318">
        <v>6</v>
      </c>
      <c r="O318">
        <v>3</v>
      </c>
      <c r="P318">
        <v>26</v>
      </c>
      <c r="Q318" t="s">
        <v>27</v>
      </c>
      <c r="R318">
        <f>IF(tblSubscriptions[[#This Row],[churned]] = "Yes",1,0)</f>
        <v>1</v>
      </c>
      <c r="S318">
        <f t="shared" si="20"/>
        <v>1</v>
      </c>
      <c r="T318">
        <f t="shared" si="21"/>
        <v>1</v>
      </c>
      <c r="U318">
        <f t="shared" si="22"/>
        <v>0</v>
      </c>
      <c r="V318">
        <f t="shared" si="23"/>
        <v>2</v>
      </c>
      <c r="W318" t="str">
        <f t="shared" si="24"/>
        <v>High Risk</v>
      </c>
    </row>
    <row r="319" spans="1:23">
      <c r="A319" t="s">
        <v>527</v>
      </c>
      <c r="B319" t="s">
        <v>33</v>
      </c>
      <c r="C319" t="s">
        <v>19</v>
      </c>
      <c r="D319" t="s">
        <v>20</v>
      </c>
      <c r="E319" t="s">
        <v>47</v>
      </c>
      <c r="F319">
        <v>1</v>
      </c>
      <c r="G319">
        <v>29</v>
      </c>
      <c r="H319" t="s">
        <v>124</v>
      </c>
      <c r="I319" t="s">
        <v>84</v>
      </c>
      <c r="J319" s="1">
        <v>45694</v>
      </c>
      <c r="K319" t="s">
        <v>24</v>
      </c>
      <c r="L319" t="s">
        <v>528</v>
      </c>
      <c r="M319" t="s">
        <v>66</v>
      </c>
      <c r="N319">
        <v>12</v>
      </c>
      <c r="O319">
        <v>3</v>
      </c>
      <c r="P319">
        <v>30</v>
      </c>
      <c r="Q319" t="s">
        <v>27</v>
      </c>
      <c r="R319">
        <f>IF(tblSubscriptions[[#This Row],[churned]] = "Yes",1,0)</f>
        <v>1</v>
      </c>
      <c r="S319">
        <f t="shared" si="20"/>
        <v>1</v>
      </c>
      <c r="T319">
        <f t="shared" si="21"/>
        <v>1</v>
      </c>
      <c r="U319">
        <f t="shared" si="22"/>
        <v>1</v>
      </c>
      <c r="V319">
        <f t="shared" si="23"/>
        <v>3</v>
      </c>
      <c r="W319" t="str">
        <f t="shared" si="24"/>
        <v>High Risk</v>
      </c>
    </row>
    <row r="320" spans="1:23">
      <c r="A320" t="s">
        <v>529</v>
      </c>
      <c r="B320" t="s">
        <v>33</v>
      </c>
      <c r="C320" t="s">
        <v>29</v>
      </c>
      <c r="D320" t="s">
        <v>83</v>
      </c>
      <c r="E320" t="s">
        <v>21</v>
      </c>
      <c r="F320">
        <v>40</v>
      </c>
      <c r="G320">
        <v>169</v>
      </c>
      <c r="H320" t="s">
        <v>22</v>
      </c>
      <c r="I320" t="s">
        <v>42</v>
      </c>
      <c r="J320" s="1">
        <v>44758</v>
      </c>
      <c r="K320" t="s">
        <v>24</v>
      </c>
      <c r="L320" t="s">
        <v>530</v>
      </c>
      <c r="M320" t="s">
        <v>58</v>
      </c>
      <c r="N320">
        <v>14</v>
      </c>
      <c r="O320">
        <v>4</v>
      </c>
      <c r="P320">
        <v>38</v>
      </c>
      <c r="Q320" t="s">
        <v>27</v>
      </c>
      <c r="R320">
        <f>IF(tblSubscriptions[[#This Row],[churned]] = "Yes",1,0)</f>
        <v>1</v>
      </c>
      <c r="S320">
        <f t="shared" si="20"/>
        <v>1</v>
      </c>
      <c r="T320">
        <f t="shared" si="21"/>
        <v>1</v>
      </c>
      <c r="U320">
        <f t="shared" si="22"/>
        <v>1</v>
      </c>
      <c r="V320">
        <f t="shared" si="23"/>
        <v>3</v>
      </c>
      <c r="W320" t="str">
        <f t="shared" si="24"/>
        <v>High Risk</v>
      </c>
    </row>
    <row r="321" spans="1:23">
      <c r="A321" t="s">
        <v>531</v>
      </c>
      <c r="B321" t="s">
        <v>18</v>
      </c>
      <c r="C321" t="s">
        <v>29</v>
      </c>
      <c r="D321" t="s">
        <v>83</v>
      </c>
      <c r="E321" t="s">
        <v>21</v>
      </c>
      <c r="F321">
        <v>20</v>
      </c>
      <c r="G321">
        <v>259</v>
      </c>
      <c r="H321" t="s">
        <v>22</v>
      </c>
      <c r="I321" t="s">
        <v>42</v>
      </c>
      <c r="J321" s="1">
        <v>45279</v>
      </c>
      <c r="K321" t="s">
        <v>27</v>
      </c>
      <c r="L321" t="s">
        <v>31</v>
      </c>
      <c r="M321" t="s">
        <v>31</v>
      </c>
      <c r="N321">
        <v>10</v>
      </c>
      <c r="O321">
        <v>9</v>
      </c>
      <c r="P321">
        <v>34</v>
      </c>
      <c r="Q321" t="s">
        <v>27</v>
      </c>
      <c r="R321">
        <f>IF(tblSubscriptions[[#This Row],[churned]] = "Yes",1,0)</f>
        <v>0</v>
      </c>
      <c r="S321">
        <f t="shared" si="20"/>
        <v>1</v>
      </c>
      <c r="T321">
        <f t="shared" si="21"/>
        <v>0</v>
      </c>
      <c r="U321">
        <f t="shared" si="22"/>
        <v>0</v>
      </c>
      <c r="V321">
        <f t="shared" si="23"/>
        <v>1</v>
      </c>
      <c r="W321" t="str">
        <f t="shared" si="24"/>
        <v>Medium Risk</v>
      </c>
    </row>
    <row r="322" spans="1:23">
      <c r="A322" t="s">
        <v>532</v>
      </c>
      <c r="B322" t="s">
        <v>18</v>
      </c>
      <c r="C322" t="s">
        <v>19</v>
      </c>
      <c r="D322" t="s">
        <v>73</v>
      </c>
      <c r="E322" t="s">
        <v>47</v>
      </c>
      <c r="F322">
        <v>2</v>
      </c>
      <c r="G322">
        <v>91</v>
      </c>
      <c r="H322" t="s">
        <v>22</v>
      </c>
      <c r="I322" t="s">
        <v>23</v>
      </c>
      <c r="J322" s="1">
        <v>45727</v>
      </c>
      <c r="K322" t="s">
        <v>24</v>
      </c>
      <c r="L322" t="s">
        <v>533</v>
      </c>
      <c r="M322" t="s">
        <v>66</v>
      </c>
      <c r="N322">
        <v>8</v>
      </c>
      <c r="O322">
        <v>3</v>
      </c>
      <c r="P322">
        <v>15</v>
      </c>
      <c r="Q322" t="s">
        <v>27</v>
      </c>
      <c r="R322">
        <f>IF(tblSubscriptions[[#This Row],[churned]] = "Yes",1,0)</f>
        <v>1</v>
      </c>
      <c r="S322">
        <f t="shared" ref="S322:S385" si="25">IF(P322&lt;50,1,0)</f>
        <v>1</v>
      </c>
      <c r="T322">
        <f t="shared" ref="T322:T385" si="26">IF(O322&lt;=6,1,0)</f>
        <v>1</v>
      </c>
      <c r="U322">
        <f t="shared" ref="U322:U385" si="27">IF(N322&gt;=11,1,0)</f>
        <v>0</v>
      </c>
      <c r="V322">
        <f t="shared" ref="V322:V385" si="28">S322+T322+U322</f>
        <v>2</v>
      </c>
      <c r="W322" t="str">
        <f t="shared" ref="W322:W385" si="29">IF(V322&gt;=2,"High Risk",IF(V322=1,"Medium Risk","Low Risk"))</f>
        <v>High Risk</v>
      </c>
    </row>
    <row r="323" spans="1:23">
      <c r="A323" t="s">
        <v>534</v>
      </c>
      <c r="B323" t="s">
        <v>18</v>
      </c>
      <c r="C323" t="s">
        <v>29</v>
      </c>
      <c r="D323" t="s">
        <v>97</v>
      </c>
      <c r="E323" t="s">
        <v>21</v>
      </c>
      <c r="F323">
        <v>34</v>
      </c>
      <c r="G323">
        <v>400</v>
      </c>
      <c r="H323" t="s">
        <v>124</v>
      </c>
      <c r="I323" t="s">
        <v>23</v>
      </c>
      <c r="J323" s="1">
        <v>45579</v>
      </c>
      <c r="K323" t="s">
        <v>24</v>
      </c>
      <c r="L323" t="s">
        <v>535</v>
      </c>
      <c r="M323" t="s">
        <v>102</v>
      </c>
      <c r="N323">
        <v>11</v>
      </c>
      <c r="O323">
        <v>6</v>
      </c>
      <c r="P323">
        <v>12</v>
      </c>
      <c r="Q323" t="s">
        <v>27</v>
      </c>
      <c r="R323">
        <f>IF(tblSubscriptions[[#This Row],[churned]] = "Yes",1,0)</f>
        <v>1</v>
      </c>
      <c r="S323">
        <f t="shared" si="25"/>
        <v>1</v>
      </c>
      <c r="T323">
        <f t="shared" si="26"/>
        <v>1</v>
      </c>
      <c r="U323">
        <f t="shared" si="27"/>
        <v>1</v>
      </c>
      <c r="V323">
        <f t="shared" si="28"/>
        <v>3</v>
      </c>
      <c r="W323" t="str">
        <f t="shared" si="29"/>
        <v>High Risk</v>
      </c>
    </row>
    <row r="324" spans="1:23">
      <c r="A324" t="s">
        <v>536</v>
      </c>
      <c r="B324" t="s">
        <v>39</v>
      </c>
      <c r="C324" t="s">
        <v>19</v>
      </c>
      <c r="D324" t="s">
        <v>56</v>
      </c>
      <c r="E324" t="s">
        <v>47</v>
      </c>
      <c r="F324">
        <v>7</v>
      </c>
      <c r="G324">
        <v>378</v>
      </c>
      <c r="H324" t="s">
        <v>36</v>
      </c>
      <c r="I324" t="s">
        <v>64</v>
      </c>
      <c r="J324" s="1">
        <v>45217</v>
      </c>
      <c r="K324" t="s">
        <v>27</v>
      </c>
      <c r="L324" t="s">
        <v>31</v>
      </c>
      <c r="M324" t="s">
        <v>31</v>
      </c>
      <c r="N324">
        <v>5</v>
      </c>
      <c r="O324">
        <v>9</v>
      </c>
      <c r="P324">
        <v>55</v>
      </c>
      <c r="Q324" t="s">
        <v>27</v>
      </c>
      <c r="R324">
        <f>IF(tblSubscriptions[[#This Row],[churned]] = "Yes",1,0)</f>
        <v>0</v>
      </c>
      <c r="S324">
        <f t="shared" si="25"/>
        <v>0</v>
      </c>
      <c r="T324">
        <f t="shared" si="26"/>
        <v>0</v>
      </c>
      <c r="U324">
        <f t="shared" si="27"/>
        <v>0</v>
      </c>
      <c r="V324">
        <f t="shared" si="28"/>
        <v>0</v>
      </c>
      <c r="W324" t="str">
        <f t="shared" si="29"/>
        <v>Low Risk</v>
      </c>
    </row>
    <row r="325" spans="1:23">
      <c r="A325" t="s">
        <v>537</v>
      </c>
      <c r="B325" t="s">
        <v>33</v>
      </c>
      <c r="C325" t="s">
        <v>29</v>
      </c>
      <c r="D325" t="s">
        <v>97</v>
      </c>
      <c r="E325" t="s">
        <v>21</v>
      </c>
      <c r="F325">
        <v>24</v>
      </c>
      <c r="G325">
        <v>110</v>
      </c>
      <c r="H325" t="s">
        <v>22</v>
      </c>
      <c r="I325" t="s">
        <v>23</v>
      </c>
      <c r="J325" s="1">
        <v>45973</v>
      </c>
      <c r="K325" t="s">
        <v>27</v>
      </c>
      <c r="L325" t="s">
        <v>31</v>
      </c>
      <c r="M325" t="s">
        <v>31</v>
      </c>
      <c r="N325">
        <v>7</v>
      </c>
      <c r="O325">
        <v>2</v>
      </c>
      <c r="P325">
        <v>90</v>
      </c>
      <c r="Q325" t="s">
        <v>27</v>
      </c>
      <c r="R325">
        <f>IF(tblSubscriptions[[#This Row],[churned]] = "Yes",1,0)</f>
        <v>0</v>
      </c>
      <c r="S325">
        <f t="shared" si="25"/>
        <v>0</v>
      </c>
      <c r="T325">
        <f t="shared" si="26"/>
        <v>1</v>
      </c>
      <c r="U325">
        <f t="shared" si="27"/>
        <v>0</v>
      </c>
      <c r="V325">
        <f t="shared" si="28"/>
        <v>1</v>
      </c>
      <c r="W325" t="str">
        <f t="shared" si="29"/>
        <v>Medium Risk</v>
      </c>
    </row>
    <row r="326" spans="1:23">
      <c r="A326" t="s">
        <v>538</v>
      </c>
      <c r="B326" t="s">
        <v>18</v>
      </c>
      <c r="C326" t="s">
        <v>29</v>
      </c>
      <c r="D326" t="s">
        <v>46</v>
      </c>
      <c r="E326" t="s">
        <v>50</v>
      </c>
      <c r="F326">
        <v>105</v>
      </c>
      <c r="G326">
        <v>1115</v>
      </c>
      <c r="H326" t="s">
        <v>70</v>
      </c>
      <c r="I326" t="s">
        <v>42</v>
      </c>
      <c r="J326" s="1">
        <v>44648</v>
      </c>
      <c r="K326" t="s">
        <v>24</v>
      </c>
      <c r="L326" t="s">
        <v>480</v>
      </c>
      <c r="M326" t="s">
        <v>62</v>
      </c>
      <c r="N326">
        <v>2</v>
      </c>
      <c r="O326">
        <v>1</v>
      </c>
      <c r="P326">
        <v>15</v>
      </c>
      <c r="Q326" t="s">
        <v>27</v>
      </c>
      <c r="R326">
        <f>IF(tblSubscriptions[[#This Row],[churned]] = "Yes",1,0)</f>
        <v>1</v>
      </c>
      <c r="S326">
        <f t="shared" si="25"/>
        <v>1</v>
      </c>
      <c r="T326">
        <f t="shared" si="26"/>
        <v>1</v>
      </c>
      <c r="U326">
        <f t="shared" si="27"/>
        <v>0</v>
      </c>
      <c r="V326">
        <f t="shared" si="28"/>
        <v>2</v>
      </c>
      <c r="W326" t="str">
        <f t="shared" si="29"/>
        <v>High Risk</v>
      </c>
    </row>
    <row r="327" spans="1:23">
      <c r="A327" t="s">
        <v>539</v>
      </c>
      <c r="B327" t="s">
        <v>39</v>
      </c>
      <c r="C327" t="s">
        <v>29</v>
      </c>
      <c r="D327" t="s">
        <v>73</v>
      </c>
      <c r="E327" t="s">
        <v>41</v>
      </c>
      <c r="F327">
        <v>10</v>
      </c>
      <c r="G327">
        <v>398</v>
      </c>
      <c r="H327" t="s">
        <v>36</v>
      </c>
      <c r="I327" t="s">
        <v>23</v>
      </c>
      <c r="J327" s="1">
        <v>45676</v>
      </c>
      <c r="K327" t="s">
        <v>27</v>
      </c>
      <c r="L327" t="s">
        <v>31</v>
      </c>
      <c r="M327" t="s">
        <v>31</v>
      </c>
      <c r="N327">
        <v>6</v>
      </c>
      <c r="O327">
        <v>9</v>
      </c>
      <c r="P327">
        <v>77</v>
      </c>
      <c r="Q327" t="s">
        <v>24</v>
      </c>
      <c r="R327">
        <f>IF(tblSubscriptions[[#This Row],[churned]] = "Yes",1,0)</f>
        <v>0</v>
      </c>
      <c r="S327">
        <f t="shared" si="25"/>
        <v>0</v>
      </c>
      <c r="T327">
        <f t="shared" si="26"/>
        <v>0</v>
      </c>
      <c r="U327">
        <f t="shared" si="27"/>
        <v>0</v>
      </c>
      <c r="V327">
        <f t="shared" si="28"/>
        <v>0</v>
      </c>
      <c r="W327" t="str">
        <f t="shared" si="29"/>
        <v>Low Risk</v>
      </c>
    </row>
    <row r="328" spans="1:23">
      <c r="A328" t="s">
        <v>540</v>
      </c>
      <c r="B328" t="s">
        <v>18</v>
      </c>
      <c r="C328" t="s">
        <v>19</v>
      </c>
      <c r="D328" t="s">
        <v>97</v>
      </c>
      <c r="E328" t="s">
        <v>41</v>
      </c>
      <c r="F328">
        <v>15</v>
      </c>
      <c r="G328">
        <v>245</v>
      </c>
      <c r="H328" t="s">
        <v>36</v>
      </c>
      <c r="I328" t="s">
        <v>64</v>
      </c>
      <c r="J328" s="1">
        <v>44685</v>
      </c>
      <c r="K328" t="s">
        <v>24</v>
      </c>
      <c r="L328" t="s">
        <v>541</v>
      </c>
      <c r="M328" t="s">
        <v>66</v>
      </c>
      <c r="N328">
        <v>14</v>
      </c>
      <c r="O328">
        <v>1</v>
      </c>
      <c r="P328">
        <v>15</v>
      </c>
      <c r="Q328" t="s">
        <v>27</v>
      </c>
      <c r="R328">
        <f>IF(tblSubscriptions[[#This Row],[churned]] = "Yes",1,0)</f>
        <v>1</v>
      </c>
      <c r="S328">
        <f t="shared" si="25"/>
        <v>1</v>
      </c>
      <c r="T328">
        <f t="shared" si="26"/>
        <v>1</v>
      </c>
      <c r="U328">
        <f t="shared" si="27"/>
        <v>1</v>
      </c>
      <c r="V328">
        <f t="shared" si="28"/>
        <v>3</v>
      </c>
      <c r="W328" t="str">
        <f t="shared" si="29"/>
        <v>High Risk</v>
      </c>
    </row>
    <row r="329" spans="1:23">
      <c r="A329" t="s">
        <v>542</v>
      </c>
      <c r="B329" t="s">
        <v>18</v>
      </c>
      <c r="C329" t="s">
        <v>19</v>
      </c>
      <c r="D329" t="s">
        <v>46</v>
      </c>
      <c r="E329" t="s">
        <v>41</v>
      </c>
      <c r="F329">
        <v>13</v>
      </c>
      <c r="G329">
        <v>221</v>
      </c>
      <c r="H329" t="s">
        <v>70</v>
      </c>
      <c r="I329" t="s">
        <v>42</v>
      </c>
      <c r="J329" s="1">
        <v>45534</v>
      </c>
      <c r="K329" t="s">
        <v>27</v>
      </c>
      <c r="L329" t="s">
        <v>31</v>
      </c>
      <c r="M329" t="s">
        <v>31</v>
      </c>
      <c r="N329">
        <v>2</v>
      </c>
      <c r="O329">
        <v>4</v>
      </c>
      <c r="P329">
        <v>71</v>
      </c>
      <c r="Q329" t="s">
        <v>27</v>
      </c>
      <c r="R329">
        <f>IF(tblSubscriptions[[#This Row],[churned]] = "Yes",1,0)</f>
        <v>0</v>
      </c>
      <c r="S329">
        <f t="shared" si="25"/>
        <v>0</v>
      </c>
      <c r="T329">
        <f t="shared" si="26"/>
        <v>1</v>
      </c>
      <c r="U329">
        <f t="shared" si="27"/>
        <v>0</v>
      </c>
      <c r="V329">
        <f t="shared" si="28"/>
        <v>1</v>
      </c>
      <c r="W329" t="str">
        <f t="shared" si="29"/>
        <v>Medium Risk</v>
      </c>
    </row>
    <row r="330" spans="1:23">
      <c r="A330" t="s">
        <v>543</v>
      </c>
      <c r="B330" t="s">
        <v>33</v>
      </c>
      <c r="C330" t="s">
        <v>19</v>
      </c>
      <c r="D330" t="s">
        <v>83</v>
      </c>
      <c r="E330" t="s">
        <v>35</v>
      </c>
      <c r="F330">
        <v>297</v>
      </c>
      <c r="G330">
        <v>1317</v>
      </c>
      <c r="H330" t="s">
        <v>36</v>
      </c>
      <c r="I330" t="s">
        <v>84</v>
      </c>
      <c r="J330" s="1">
        <v>46002</v>
      </c>
      <c r="K330" t="s">
        <v>27</v>
      </c>
      <c r="L330" t="s">
        <v>31</v>
      </c>
      <c r="M330" t="s">
        <v>31</v>
      </c>
      <c r="N330">
        <v>7</v>
      </c>
      <c r="O330">
        <v>4</v>
      </c>
      <c r="P330">
        <v>44</v>
      </c>
      <c r="Q330" t="s">
        <v>27</v>
      </c>
      <c r="R330">
        <f>IF(tblSubscriptions[[#This Row],[churned]] = "Yes",1,0)</f>
        <v>0</v>
      </c>
      <c r="S330">
        <f t="shared" si="25"/>
        <v>1</v>
      </c>
      <c r="T330">
        <f t="shared" si="26"/>
        <v>1</v>
      </c>
      <c r="U330">
        <f t="shared" si="27"/>
        <v>0</v>
      </c>
      <c r="V330">
        <f t="shared" si="28"/>
        <v>2</v>
      </c>
      <c r="W330" t="str">
        <f t="shared" si="29"/>
        <v>High Risk</v>
      </c>
    </row>
    <row r="331" spans="1:23">
      <c r="A331" t="s">
        <v>544</v>
      </c>
      <c r="B331" t="s">
        <v>18</v>
      </c>
      <c r="C331" t="s">
        <v>19</v>
      </c>
      <c r="D331" t="s">
        <v>20</v>
      </c>
      <c r="E331" t="s">
        <v>21</v>
      </c>
      <c r="F331">
        <v>51</v>
      </c>
      <c r="G331">
        <v>672</v>
      </c>
      <c r="H331" t="s">
        <v>30</v>
      </c>
      <c r="I331" t="s">
        <v>64</v>
      </c>
      <c r="J331" s="1">
        <v>45368</v>
      </c>
      <c r="K331" t="s">
        <v>27</v>
      </c>
      <c r="L331" t="s">
        <v>31</v>
      </c>
      <c r="M331" t="s">
        <v>31</v>
      </c>
      <c r="N331">
        <v>7</v>
      </c>
      <c r="O331">
        <v>4</v>
      </c>
      <c r="P331">
        <v>84</v>
      </c>
      <c r="Q331" t="s">
        <v>27</v>
      </c>
      <c r="R331">
        <f>IF(tblSubscriptions[[#This Row],[churned]] = "Yes",1,0)</f>
        <v>0</v>
      </c>
      <c r="S331">
        <f t="shared" si="25"/>
        <v>0</v>
      </c>
      <c r="T331">
        <f t="shared" si="26"/>
        <v>1</v>
      </c>
      <c r="U331">
        <f t="shared" si="27"/>
        <v>0</v>
      </c>
      <c r="V331">
        <f t="shared" si="28"/>
        <v>1</v>
      </c>
      <c r="W331" t="str">
        <f t="shared" si="29"/>
        <v>Medium Risk</v>
      </c>
    </row>
    <row r="332" spans="1:23">
      <c r="A332" t="s">
        <v>545</v>
      </c>
      <c r="B332" t="s">
        <v>18</v>
      </c>
      <c r="C332" t="s">
        <v>19</v>
      </c>
      <c r="D332" t="s">
        <v>73</v>
      </c>
      <c r="E332" t="s">
        <v>21</v>
      </c>
      <c r="F332">
        <v>30</v>
      </c>
      <c r="G332">
        <v>423</v>
      </c>
      <c r="H332" t="s">
        <v>124</v>
      </c>
      <c r="I332" t="s">
        <v>23</v>
      </c>
      <c r="J332" s="1">
        <v>45821</v>
      </c>
      <c r="K332" t="s">
        <v>27</v>
      </c>
      <c r="L332" t="s">
        <v>31</v>
      </c>
      <c r="M332" t="s">
        <v>31</v>
      </c>
      <c r="N332">
        <v>11</v>
      </c>
      <c r="O332">
        <v>5</v>
      </c>
      <c r="P332">
        <v>60</v>
      </c>
      <c r="Q332" t="s">
        <v>27</v>
      </c>
      <c r="R332">
        <f>IF(tblSubscriptions[[#This Row],[churned]] = "Yes",1,0)</f>
        <v>0</v>
      </c>
      <c r="S332">
        <f t="shared" si="25"/>
        <v>0</v>
      </c>
      <c r="T332">
        <f t="shared" si="26"/>
        <v>1</v>
      </c>
      <c r="U332">
        <f t="shared" si="27"/>
        <v>1</v>
      </c>
      <c r="V332">
        <f t="shared" si="28"/>
        <v>2</v>
      </c>
      <c r="W332" t="str">
        <f t="shared" si="29"/>
        <v>High Risk</v>
      </c>
    </row>
    <row r="333" spans="1:23">
      <c r="A333" t="s">
        <v>546</v>
      </c>
      <c r="B333" t="s">
        <v>18</v>
      </c>
      <c r="C333" t="s">
        <v>19</v>
      </c>
      <c r="D333" t="s">
        <v>34</v>
      </c>
      <c r="E333" t="s">
        <v>21</v>
      </c>
      <c r="F333">
        <v>77</v>
      </c>
      <c r="G333">
        <v>980</v>
      </c>
      <c r="H333" t="s">
        <v>70</v>
      </c>
      <c r="I333" t="s">
        <v>23</v>
      </c>
      <c r="J333" s="1">
        <v>45724</v>
      </c>
      <c r="K333" t="s">
        <v>24</v>
      </c>
      <c r="L333" t="s">
        <v>547</v>
      </c>
      <c r="M333" t="s">
        <v>62</v>
      </c>
      <c r="N333">
        <v>3</v>
      </c>
      <c r="O333">
        <v>2</v>
      </c>
      <c r="P333">
        <v>40</v>
      </c>
      <c r="Q333" t="s">
        <v>27</v>
      </c>
      <c r="R333">
        <f>IF(tblSubscriptions[[#This Row],[churned]] = "Yes",1,0)</f>
        <v>1</v>
      </c>
      <c r="S333">
        <f t="shared" si="25"/>
        <v>1</v>
      </c>
      <c r="T333">
        <f t="shared" si="26"/>
        <v>1</v>
      </c>
      <c r="U333">
        <f t="shared" si="27"/>
        <v>0</v>
      </c>
      <c r="V333">
        <f t="shared" si="28"/>
        <v>2</v>
      </c>
      <c r="W333" t="str">
        <f t="shared" si="29"/>
        <v>High Risk</v>
      </c>
    </row>
    <row r="334" spans="1:23">
      <c r="A334" t="s">
        <v>548</v>
      </c>
      <c r="B334" t="s">
        <v>18</v>
      </c>
      <c r="C334" t="s">
        <v>29</v>
      </c>
      <c r="D334" t="s">
        <v>73</v>
      </c>
      <c r="E334" t="s">
        <v>21</v>
      </c>
      <c r="F334">
        <v>18</v>
      </c>
      <c r="G334">
        <v>238</v>
      </c>
      <c r="H334" t="s">
        <v>36</v>
      </c>
      <c r="I334" t="s">
        <v>64</v>
      </c>
      <c r="J334" s="1">
        <v>45387</v>
      </c>
      <c r="K334" t="s">
        <v>24</v>
      </c>
      <c r="L334" t="s">
        <v>549</v>
      </c>
      <c r="M334" t="s">
        <v>102</v>
      </c>
      <c r="N334">
        <v>14</v>
      </c>
      <c r="O334">
        <v>1</v>
      </c>
      <c r="P334">
        <v>33</v>
      </c>
      <c r="Q334" t="s">
        <v>27</v>
      </c>
      <c r="R334">
        <f>IF(tblSubscriptions[[#This Row],[churned]] = "Yes",1,0)</f>
        <v>1</v>
      </c>
      <c r="S334">
        <f t="shared" si="25"/>
        <v>1</v>
      </c>
      <c r="T334">
        <f t="shared" si="26"/>
        <v>1</v>
      </c>
      <c r="U334">
        <f t="shared" si="27"/>
        <v>1</v>
      </c>
      <c r="V334">
        <f t="shared" si="28"/>
        <v>3</v>
      </c>
      <c r="W334" t="str">
        <f t="shared" si="29"/>
        <v>High Risk</v>
      </c>
    </row>
    <row r="335" spans="1:23">
      <c r="A335" t="s">
        <v>550</v>
      </c>
      <c r="B335" t="s">
        <v>33</v>
      </c>
      <c r="C335" t="s">
        <v>29</v>
      </c>
      <c r="D335" t="s">
        <v>34</v>
      </c>
      <c r="E335" t="s">
        <v>50</v>
      </c>
      <c r="F335">
        <v>85</v>
      </c>
      <c r="G335">
        <v>335</v>
      </c>
      <c r="H335" t="s">
        <v>22</v>
      </c>
      <c r="I335" t="s">
        <v>42</v>
      </c>
      <c r="J335" s="1">
        <v>45212</v>
      </c>
      <c r="K335" t="s">
        <v>24</v>
      </c>
      <c r="L335" t="s">
        <v>551</v>
      </c>
      <c r="M335" t="s">
        <v>62</v>
      </c>
      <c r="N335">
        <v>8</v>
      </c>
      <c r="O335">
        <v>1</v>
      </c>
      <c r="P335">
        <v>35</v>
      </c>
      <c r="Q335" t="s">
        <v>27</v>
      </c>
      <c r="R335">
        <f>IF(tblSubscriptions[[#This Row],[churned]] = "Yes",1,0)</f>
        <v>1</v>
      </c>
      <c r="S335">
        <f t="shared" si="25"/>
        <v>1</v>
      </c>
      <c r="T335">
        <f t="shared" si="26"/>
        <v>1</v>
      </c>
      <c r="U335">
        <f t="shared" si="27"/>
        <v>0</v>
      </c>
      <c r="V335">
        <f t="shared" si="28"/>
        <v>2</v>
      </c>
      <c r="W335" t="str">
        <f t="shared" si="29"/>
        <v>High Risk</v>
      </c>
    </row>
    <row r="336" spans="1:23">
      <c r="A336" t="s">
        <v>552</v>
      </c>
      <c r="B336" t="s">
        <v>18</v>
      </c>
      <c r="C336" t="s">
        <v>19</v>
      </c>
      <c r="D336" t="s">
        <v>97</v>
      </c>
      <c r="E336" t="s">
        <v>41</v>
      </c>
      <c r="F336">
        <v>18</v>
      </c>
      <c r="G336">
        <v>280</v>
      </c>
      <c r="H336" t="s">
        <v>124</v>
      </c>
      <c r="I336" t="s">
        <v>23</v>
      </c>
      <c r="J336" s="1">
        <v>44811</v>
      </c>
      <c r="K336" t="s">
        <v>24</v>
      </c>
      <c r="L336" t="s">
        <v>553</v>
      </c>
      <c r="M336" t="s">
        <v>75</v>
      </c>
      <c r="N336">
        <v>10</v>
      </c>
      <c r="O336">
        <v>1</v>
      </c>
      <c r="P336">
        <v>27</v>
      </c>
      <c r="Q336" t="s">
        <v>27</v>
      </c>
      <c r="R336">
        <f>IF(tblSubscriptions[[#This Row],[churned]] = "Yes",1,0)</f>
        <v>1</v>
      </c>
      <c r="S336">
        <f t="shared" si="25"/>
        <v>1</v>
      </c>
      <c r="T336">
        <f t="shared" si="26"/>
        <v>1</v>
      </c>
      <c r="U336">
        <f t="shared" si="27"/>
        <v>0</v>
      </c>
      <c r="V336">
        <f t="shared" si="28"/>
        <v>2</v>
      </c>
      <c r="W336" t="str">
        <f t="shared" si="29"/>
        <v>High Risk</v>
      </c>
    </row>
    <row r="337" spans="1:23">
      <c r="A337" t="s">
        <v>554</v>
      </c>
      <c r="B337" t="s">
        <v>39</v>
      </c>
      <c r="C337" t="s">
        <v>29</v>
      </c>
      <c r="D337" t="s">
        <v>73</v>
      </c>
      <c r="E337" t="s">
        <v>47</v>
      </c>
      <c r="F337">
        <v>5</v>
      </c>
      <c r="G337">
        <v>271</v>
      </c>
      <c r="H337" t="s">
        <v>22</v>
      </c>
      <c r="I337" t="s">
        <v>42</v>
      </c>
      <c r="J337" s="1">
        <v>45121</v>
      </c>
      <c r="K337" t="s">
        <v>24</v>
      </c>
      <c r="L337" t="s">
        <v>555</v>
      </c>
      <c r="M337" t="s">
        <v>66</v>
      </c>
      <c r="N337">
        <v>7</v>
      </c>
      <c r="O337">
        <v>1</v>
      </c>
      <c r="P337">
        <v>36</v>
      </c>
      <c r="Q337" t="s">
        <v>27</v>
      </c>
      <c r="R337">
        <f>IF(tblSubscriptions[[#This Row],[churned]] = "Yes",1,0)</f>
        <v>1</v>
      </c>
      <c r="S337">
        <f t="shared" si="25"/>
        <v>1</v>
      </c>
      <c r="T337">
        <f t="shared" si="26"/>
        <v>1</v>
      </c>
      <c r="U337">
        <f t="shared" si="27"/>
        <v>0</v>
      </c>
      <c r="V337">
        <f t="shared" si="28"/>
        <v>2</v>
      </c>
      <c r="W337" t="str">
        <f t="shared" si="29"/>
        <v>High Risk</v>
      </c>
    </row>
    <row r="338" spans="1:23">
      <c r="A338" t="s">
        <v>556</v>
      </c>
      <c r="B338" t="s">
        <v>33</v>
      </c>
      <c r="C338" t="s">
        <v>19</v>
      </c>
      <c r="D338" t="s">
        <v>56</v>
      </c>
      <c r="E338" t="s">
        <v>21</v>
      </c>
      <c r="F338">
        <v>65</v>
      </c>
      <c r="G338">
        <v>307</v>
      </c>
      <c r="H338" t="s">
        <v>70</v>
      </c>
      <c r="I338" t="s">
        <v>84</v>
      </c>
      <c r="J338" s="1">
        <v>44887</v>
      </c>
      <c r="K338" t="s">
        <v>24</v>
      </c>
      <c r="L338" t="s">
        <v>557</v>
      </c>
      <c r="M338" t="s">
        <v>26</v>
      </c>
      <c r="N338">
        <v>3</v>
      </c>
      <c r="O338">
        <v>1</v>
      </c>
      <c r="P338">
        <v>45</v>
      </c>
      <c r="Q338" t="s">
        <v>27</v>
      </c>
      <c r="R338">
        <f>IF(tblSubscriptions[[#This Row],[churned]] = "Yes",1,0)</f>
        <v>1</v>
      </c>
      <c r="S338">
        <f t="shared" si="25"/>
        <v>1</v>
      </c>
      <c r="T338">
        <f t="shared" si="26"/>
        <v>1</v>
      </c>
      <c r="U338">
        <f t="shared" si="27"/>
        <v>0</v>
      </c>
      <c r="V338">
        <f t="shared" si="28"/>
        <v>2</v>
      </c>
      <c r="W338" t="str">
        <f t="shared" si="29"/>
        <v>High Risk</v>
      </c>
    </row>
    <row r="339" spans="1:23">
      <c r="A339" t="s">
        <v>558</v>
      </c>
      <c r="B339" t="s">
        <v>33</v>
      </c>
      <c r="C339" t="s">
        <v>29</v>
      </c>
      <c r="D339" t="s">
        <v>46</v>
      </c>
      <c r="E339" t="s">
        <v>41</v>
      </c>
      <c r="F339">
        <v>26</v>
      </c>
      <c r="G339">
        <v>117</v>
      </c>
      <c r="H339" t="s">
        <v>36</v>
      </c>
      <c r="I339" t="s">
        <v>23</v>
      </c>
      <c r="J339" s="1">
        <v>45320</v>
      </c>
      <c r="K339" t="s">
        <v>27</v>
      </c>
      <c r="L339" t="s">
        <v>31</v>
      </c>
      <c r="M339" t="s">
        <v>31</v>
      </c>
      <c r="N339">
        <v>4</v>
      </c>
      <c r="O339">
        <v>8</v>
      </c>
      <c r="P339">
        <v>42</v>
      </c>
      <c r="Q339" t="s">
        <v>24</v>
      </c>
      <c r="R339">
        <f>IF(tblSubscriptions[[#This Row],[churned]] = "Yes",1,0)</f>
        <v>0</v>
      </c>
      <c r="S339">
        <f t="shared" si="25"/>
        <v>1</v>
      </c>
      <c r="T339">
        <f t="shared" si="26"/>
        <v>0</v>
      </c>
      <c r="U339">
        <f t="shared" si="27"/>
        <v>0</v>
      </c>
      <c r="V339">
        <f t="shared" si="28"/>
        <v>1</v>
      </c>
      <c r="W339" t="str">
        <f t="shared" si="29"/>
        <v>Medium Risk</v>
      </c>
    </row>
    <row r="340" spans="1:23">
      <c r="A340" t="s">
        <v>559</v>
      </c>
      <c r="B340" t="s">
        <v>33</v>
      </c>
      <c r="C340" t="s">
        <v>19</v>
      </c>
      <c r="D340" t="s">
        <v>56</v>
      </c>
      <c r="E340" t="s">
        <v>47</v>
      </c>
      <c r="F340">
        <v>4</v>
      </c>
      <c r="G340">
        <v>42</v>
      </c>
      <c r="H340" t="s">
        <v>22</v>
      </c>
      <c r="I340" t="s">
        <v>23</v>
      </c>
      <c r="J340" s="1">
        <v>45440</v>
      </c>
      <c r="K340" t="s">
        <v>24</v>
      </c>
      <c r="L340" t="s">
        <v>560</v>
      </c>
      <c r="M340" t="s">
        <v>26</v>
      </c>
      <c r="N340">
        <v>0</v>
      </c>
      <c r="O340">
        <v>4</v>
      </c>
      <c r="P340">
        <v>13</v>
      </c>
      <c r="Q340" t="s">
        <v>27</v>
      </c>
      <c r="R340">
        <f>IF(tblSubscriptions[[#This Row],[churned]] = "Yes",1,0)</f>
        <v>1</v>
      </c>
      <c r="S340">
        <f t="shared" si="25"/>
        <v>1</v>
      </c>
      <c r="T340">
        <f t="shared" si="26"/>
        <v>1</v>
      </c>
      <c r="U340">
        <f t="shared" si="27"/>
        <v>0</v>
      </c>
      <c r="V340">
        <f t="shared" si="28"/>
        <v>2</v>
      </c>
      <c r="W340" t="str">
        <f t="shared" si="29"/>
        <v>High Risk</v>
      </c>
    </row>
    <row r="341" spans="1:23">
      <c r="A341" t="s">
        <v>561</v>
      </c>
      <c r="B341" t="s">
        <v>33</v>
      </c>
      <c r="C341" t="s">
        <v>29</v>
      </c>
      <c r="D341" t="s">
        <v>73</v>
      </c>
      <c r="E341" t="s">
        <v>50</v>
      </c>
      <c r="F341">
        <v>140</v>
      </c>
      <c r="G341">
        <v>539</v>
      </c>
      <c r="H341" t="s">
        <v>22</v>
      </c>
      <c r="I341" t="s">
        <v>42</v>
      </c>
      <c r="J341" s="1">
        <v>44742</v>
      </c>
      <c r="K341" t="s">
        <v>24</v>
      </c>
      <c r="L341" t="s">
        <v>562</v>
      </c>
      <c r="M341" t="s">
        <v>62</v>
      </c>
      <c r="N341">
        <v>14</v>
      </c>
      <c r="O341">
        <v>2</v>
      </c>
      <c r="P341">
        <v>43</v>
      </c>
      <c r="Q341" t="s">
        <v>27</v>
      </c>
      <c r="R341">
        <f>IF(tblSubscriptions[[#This Row],[churned]] = "Yes",1,0)</f>
        <v>1</v>
      </c>
      <c r="S341">
        <f t="shared" si="25"/>
        <v>1</v>
      </c>
      <c r="T341">
        <f t="shared" si="26"/>
        <v>1</v>
      </c>
      <c r="U341">
        <f t="shared" si="27"/>
        <v>1</v>
      </c>
      <c r="V341">
        <f t="shared" si="28"/>
        <v>3</v>
      </c>
      <c r="W341" t="str">
        <f t="shared" si="29"/>
        <v>High Risk</v>
      </c>
    </row>
    <row r="342" spans="1:23">
      <c r="A342" t="s">
        <v>563</v>
      </c>
      <c r="B342" t="s">
        <v>33</v>
      </c>
      <c r="C342" t="s">
        <v>19</v>
      </c>
      <c r="D342" t="s">
        <v>40</v>
      </c>
      <c r="E342" t="s">
        <v>50</v>
      </c>
      <c r="F342">
        <v>41</v>
      </c>
      <c r="G342">
        <v>203</v>
      </c>
      <c r="H342" t="s">
        <v>70</v>
      </c>
      <c r="I342" t="s">
        <v>23</v>
      </c>
      <c r="J342" s="1">
        <v>45735</v>
      </c>
      <c r="K342" t="s">
        <v>24</v>
      </c>
      <c r="L342" t="s">
        <v>564</v>
      </c>
      <c r="M342" t="s">
        <v>75</v>
      </c>
      <c r="N342">
        <v>12</v>
      </c>
      <c r="O342">
        <v>1</v>
      </c>
      <c r="P342">
        <v>40</v>
      </c>
      <c r="Q342" t="s">
        <v>27</v>
      </c>
      <c r="R342">
        <f>IF(tblSubscriptions[[#This Row],[churned]] = "Yes",1,0)</f>
        <v>1</v>
      </c>
      <c r="S342">
        <f t="shared" si="25"/>
        <v>1</v>
      </c>
      <c r="T342">
        <f t="shared" si="26"/>
        <v>1</v>
      </c>
      <c r="U342">
        <f t="shared" si="27"/>
        <v>1</v>
      </c>
      <c r="V342">
        <f t="shared" si="28"/>
        <v>3</v>
      </c>
      <c r="W342" t="str">
        <f t="shared" si="29"/>
        <v>High Risk</v>
      </c>
    </row>
    <row r="343" spans="1:23">
      <c r="A343" t="s">
        <v>565</v>
      </c>
      <c r="B343" t="s">
        <v>33</v>
      </c>
      <c r="C343" t="s">
        <v>29</v>
      </c>
      <c r="D343" t="s">
        <v>20</v>
      </c>
      <c r="E343" t="s">
        <v>50</v>
      </c>
      <c r="F343">
        <v>78</v>
      </c>
      <c r="G343">
        <v>309</v>
      </c>
      <c r="H343" t="s">
        <v>70</v>
      </c>
      <c r="I343" t="s">
        <v>42</v>
      </c>
      <c r="J343" s="1">
        <v>45519</v>
      </c>
      <c r="K343" t="s">
        <v>24</v>
      </c>
      <c r="L343" t="s">
        <v>566</v>
      </c>
      <c r="M343" t="s">
        <v>58</v>
      </c>
      <c r="N343">
        <v>3</v>
      </c>
      <c r="O343">
        <v>1</v>
      </c>
      <c r="P343">
        <v>35</v>
      </c>
      <c r="Q343" t="s">
        <v>27</v>
      </c>
      <c r="R343">
        <f>IF(tblSubscriptions[[#This Row],[churned]] = "Yes",1,0)</f>
        <v>1</v>
      </c>
      <c r="S343">
        <f t="shared" si="25"/>
        <v>1</v>
      </c>
      <c r="T343">
        <f t="shared" si="26"/>
        <v>1</v>
      </c>
      <c r="U343">
        <f t="shared" si="27"/>
        <v>0</v>
      </c>
      <c r="V343">
        <f t="shared" si="28"/>
        <v>2</v>
      </c>
      <c r="W343" t="str">
        <f t="shared" si="29"/>
        <v>High Risk</v>
      </c>
    </row>
    <row r="344" spans="1:23">
      <c r="A344" t="s">
        <v>567</v>
      </c>
      <c r="B344" t="s">
        <v>39</v>
      </c>
      <c r="C344" t="s">
        <v>29</v>
      </c>
      <c r="D344" t="s">
        <v>83</v>
      </c>
      <c r="E344" t="s">
        <v>41</v>
      </c>
      <c r="F344">
        <v>12</v>
      </c>
      <c r="G344">
        <v>448</v>
      </c>
      <c r="H344" t="s">
        <v>48</v>
      </c>
      <c r="I344" t="s">
        <v>84</v>
      </c>
      <c r="J344" s="1">
        <v>45069</v>
      </c>
      <c r="K344" t="s">
        <v>24</v>
      </c>
      <c r="L344" t="s">
        <v>568</v>
      </c>
      <c r="M344" t="s">
        <v>75</v>
      </c>
      <c r="N344">
        <v>12</v>
      </c>
      <c r="O344">
        <v>6</v>
      </c>
      <c r="P344">
        <v>19</v>
      </c>
      <c r="Q344" t="s">
        <v>27</v>
      </c>
      <c r="R344">
        <f>IF(tblSubscriptions[[#This Row],[churned]] = "Yes",1,0)</f>
        <v>1</v>
      </c>
      <c r="S344">
        <f t="shared" si="25"/>
        <v>1</v>
      </c>
      <c r="T344">
        <f t="shared" si="26"/>
        <v>1</v>
      </c>
      <c r="U344">
        <f t="shared" si="27"/>
        <v>1</v>
      </c>
      <c r="V344">
        <f t="shared" si="28"/>
        <v>3</v>
      </c>
      <c r="W344" t="str">
        <f t="shared" si="29"/>
        <v>High Risk</v>
      </c>
    </row>
    <row r="345" spans="1:23">
      <c r="A345" t="s">
        <v>569</v>
      </c>
      <c r="B345" t="s">
        <v>18</v>
      </c>
      <c r="C345" t="s">
        <v>19</v>
      </c>
      <c r="D345" t="s">
        <v>20</v>
      </c>
      <c r="E345" t="s">
        <v>41</v>
      </c>
      <c r="F345">
        <v>32</v>
      </c>
      <c r="G345">
        <v>446</v>
      </c>
      <c r="H345" t="s">
        <v>48</v>
      </c>
      <c r="I345" t="s">
        <v>64</v>
      </c>
      <c r="J345" s="1">
        <v>44703</v>
      </c>
      <c r="K345" t="s">
        <v>24</v>
      </c>
      <c r="L345" t="s">
        <v>570</v>
      </c>
      <c r="M345" t="s">
        <v>66</v>
      </c>
      <c r="N345">
        <v>3</v>
      </c>
      <c r="O345">
        <v>3</v>
      </c>
      <c r="P345">
        <v>29</v>
      </c>
      <c r="Q345" t="s">
        <v>27</v>
      </c>
      <c r="R345">
        <f>IF(tblSubscriptions[[#This Row],[churned]] = "Yes",1,0)</f>
        <v>1</v>
      </c>
      <c r="S345">
        <f t="shared" si="25"/>
        <v>1</v>
      </c>
      <c r="T345">
        <f t="shared" si="26"/>
        <v>1</v>
      </c>
      <c r="U345">
        <f t="shared" si="27"/>
        <v>0</v>
      </c>
      <c r="V345">
        <f t="shared" si="28"/>
        <v>2</v>
      </c>
      <c r="W345" t="str">
        <f t="shared" si="29"/>
        <v>High Risk</v>
      </c>
    </row>
    <row r="346" spans="1:23">
      <c r="A346" t="s">
        <v>571</v>
      </c>
      <c r="B346" t="s">
        <v>39</v>
      </c>
      <c r="C346" t="s">
        <v>29</v>
      </c>
      <c r="D346" t="s">
        <v>73</v>
      </c>
      <c r="E346" t="s">
        <v>47</v>
      </c>
      <c r="F346">
        <v>4</v>
      </c>
      <c r="G346">
        <v>245</v>
      </c>
      <c r="H346" t="s">
        <v>70</v>
      </c>
      <c r="I346" t="s">
        <v>42</v>
      </c>
      <c r="J346" s="1">
        <v>44830</v>
      </c>
      <c r="K346" t="s">
        <v>27</v>
      </c>
      <c r="L346" t="s">
        <v>31</v>
      </c>
      <c r="M346" t="s">
        <v>31</v>
      </c>
      <c r="N346">
        <v>4</v>
      </c>
      <c r="O346">
        <v>2</v>
      </c>
      <c r="P346">
        <v>93</v>
      </c>
      <c r="Q346" t="s">
        <v>27</v>
      </c>
      <c r="R346">
        <f>IF(tblSubscriptions[[#This Row],[churned]] = "Yes",1,0)</f>
        <v>0</v>
      </c>
      <c r="S346">
        <f t="shared" si="25"/>
        <v>0</v>
      </c>
      <c r="T346">
        <f t="shared" si="26"/>
        <v>1</v>
      </c>
      <c r="U346">
        <f t="shared" si="27"/>
        <v>0</v>
      </c>
      <c r="V346">
        <f t="shared" si="28"/>
        <v>1</v>
      </c>
      <c r="W346" t="str">
        <f t="shared" si="29"/>
        <v>Medium Risk</v>
      </c>
    </row>
    <row r="347" spans="1:23">
      <c r="A347" t="s">
        <v>572</v>
      </c>
      <c r="B347" t="s">
        <v>39</v>
      </c>
      <c r="C347" t="s">
        <v>19</v>
      </c>
      <c r="D347" t="s">
        <v>73</v>
      </c>
      <c r="E347" t="s">
        <v>50</v>
      </c>
      <c r="F347">
        <v>126</v>
      </c>
      <c r="G347">
        <v>3930</v>
      </c>
      <c r="H347" t="s">
        <v>70</v>
      </c>
      <c r="I347" t="s">
        <v>23</v>
      </c>
      <c r="J347" s="1">
        <v>45979</v>
      </c>
      <c r="K347" t="s">
        <v>27</v>
      </c>
      <c r="L347" t="s">
        <v>31</v>
      </c>
      <c r="M347" t="s">
        <v>31</v>
      </c>
      <c r="N347">
        <v>9</v>
      </c>
      <c r="O347">
        <v>8</v>
      </c>
      <c r="P347">
        <v>20</v>
      </c>
      <c r="Q347" t="s">
        <v>27</v>
      </c>
      <c r="R347">
        <f>IF(tblSubscriptions[[#This Row],[churned]] = "Yes",1,0)</f>
        <v>0</v>
      </c>
      <c r="S347">
        <f t="shared" si="25"/>
        <v>1</v>
      </c>
      <c r="T347">
        <f t="shared" si="26"/>
        <v>0</v>
      </c>
      <c r="U347">
        <f t="shared" si="27"/>
        <v>0</v>
      </c>
      <c r="V347">
        <f t="shared" si="28"/>
        <v>1</v>
      </c>
      <c r="W347" t="str">
        <f t="shared" si="29"/>
        <v>Medium Risk</v>
      </c>
    </row>
    <row r="348" spans="1:23">
      <c r="A348" t="s">
        <v>573</v>
      </c>
      <c r="B348" t="s">
        <v>18</v>
      </c>
      <c r="C348" t="s">
        <v>29</v>
      </c>
      <c r="D348" t="s">
        <v>56</v>
      </c>
      <c r="E348" t="s">
        <v>21</v>
      </c>
      <c r="F348">
        <v>17</v>
      </c>
      <c r="G348">
        <v>228</v>
      </c>
      <c r="H348" t="s">
        <v>22</v>
      </c>
      <c r="I348" t="s">
        <v>42</v>
      </c>
      <c r="J348" s="1">
        <v>45925</v>
      </c>
      <c r="K348" t="s">
        <v>27</v>
      </c>
      <c r="L348" t="s">
        <v>31</v>
      </c>
      <c r="M348" t="s">
        <v>31</v>
      </c>
      <c r="N348">
        <v>5</v>
      </c>
      <c r="O348">
        <v>4</v>
      </c>
      <c r="P348">
        <v>21</v>
      </c>
      <c r="Q348" t="s">
        <v>27</v>
      </c>
      <c r="R348">
        <f>IF(tblSubscriptions[[#This Row],[churned]] = "Yes",1,0)</f>
        <v>0</v>
      </c>
      <c r="S348">
        <f t="shared" si="25"/>
        <v>1</v>
      </c>
      <c r="T348">
        <f t="shared" si="26"/>
        <v>1</v>
      </c>
      <c r="U348">
        <f t="shared" si="27"/>
        <v>0</v>
      </c>
      <c r="V348">
        <f t="shared" si="28"/>
        <v>2</v>
      </c>
      <c r="W348" t="str">
        <f t="shared" si="29"/>
        <v>High Risk</v>
      </c>
    </row>
    <row r="349" spans="1:23">
      <c r="A349" t="s">
        <v>574</v>
      </c>
      <c r="B349" t="s">
        <v>39</v>
      </c>
      <c r="C349" t="s">
        <v>19</v>
      </c>
      <c r="D349" t="s">
        <v>46</v>
      </c>
      <c r="E349" t="s">
        <v>21</v>
      </c>
      <c r="F349">
        <v>73</v>
      </c>
      <c r="G349">
        <v>2348</v>
      </c>
      <c r="H349" t="s">
        <v>22</v>
      </c>
      <c r="I349" t="s">
        <v>64</v>
      </c>
      <c r="J349" s="1">
        <v>45813</v>
      </c>
      <c r="K349" t="s">
        <v>27</v>
      </c>
      <c r="L349" t="s">
        <v>31</v>
      </c>
      <c r="M349" t="s">
        <v>31</v>
      </c>
      <c r="N349">
        <v>9</v>
      </c>
      <c r="O349">
        <v>5</v>
      </c>
      <c r="P349">
        <v>74</v>
      </c>
      <c r="Q349" t="s">
        <v>27</v>
      </c>
      <c r="R349">
        <f>IF(tblSubscriptions[[#This Row],[churned]] = "Yes",1,0)</f>
        <v>0</v>
      </c>
      <c r="S349">
        <f t="shared" si="25"/>
        <v>0</v>
      </c>
      <c r="T349">
        <f t="shared" si="26"/>
        <v>1</v>
      </c>
      <c r="U349">
        <f t="shared" si="27"/>
        <v>0</v>
      </c>
      <c r="V349">
        <f t="shared" si="28"/>
        <v>1</v>
      </c>
      <c r="W349" t="str">
        <f t="shared" si="29"/>
        <v>Medium Risk</v>
      </c>
    </row>
    <row r="350" spans="1:23">
      <c r="A350" t="s">
        <v>575</v>
      </c>
      <c r="B350" t="s">
        <v>39</v>
      </c>
      <c r="C350" t="s">
        <v>29</v>
      </c>
      <c r="D350" t="s">
        <v>83</v>
      </c>
      <c r="E350" t="s">
        <v>41</v>
      </c>
      <c r="F350">
        <v>29</v>
      </c>
      <c r="G350">
        <v>880</v>
      </c>
      <c r="H350" t="s">
        <v>70</v>
      </c>
      <c r="I350" t="s">
        <v>23</v>
      </c>
      <c r="J350" s="1">
        <v>45457</v>
      </c>
      <c r="K350" t="s">
        <v>27</v>
      </c>
      <c r="L350" t="s">
        <v>31</v>
      </c>
      <c r="M350" t="s">
        <v>31</v>
      </c>
      <c r="N350">
        <v>7</v>
      </c>
      <c r="O350">
        <v>10</v>
      </c>
      <c r="P350">
        <v>33</v>
      </c>
      <c r="Q350" t="s">
        <v>27</v>
      </c>
      <c r="R350">
        <f>IF(tblSubscriptions[[#This Row],[churned]] = "Yes",1,0)</f>
        <v>0</v>
      </c>
      <c r="S350">
        <f t="shared" si="25"/>
        <v>1</v>
      </c>
      <c r="T350">
        <f t="shared" si="26"/>
        <v>0</v>
      </c>
      <c r="U350">
        <f t="shared" si="27"/>
        <v>0</v>
      </c>
      <c r="V350">
        <f t="shared" si="28"/>
        <v>1</v>
      </c>
      <c r="W350" t="str">
        <f t="shared" si="29"/>
        <v>Medium Risk</v>
      </c>
    </row>
    <row r="351" spans="1:23">
      <c r="A351" t="s">
        <v>576</v>
      </c>
      <c r="B351" t="s">
        <v>18</v>
      </c>
      <c r="C351" t="s">
        <v>19</v>
      </c>
      <c r="D351" t="s">
        <v>56</v>
      </c>
      <c r="E351" t="s">
        <v>21</v>
      </c>
      <c r="F351">
        <v>59</v>
      </c>
      <c r="G351">
        <v>766</v>
      </c>
      <c r="H351" t="s">
        <v>124</v>
      </c>
      <c r="I351" t="s">
        <v>23</v>
      </c>
      <c r="J351" s="1">
        <v>44619</v>
      </c>
      <c r="K351" t="s">
        <v>24</v>
      </c>
      <c r="L351" t="s">
        <v>577</v>
      </c>
      <c r="M351" t="s">
        <v>58</v>
      </c>
      <c r="N351">
        <v>6</v>
      </c>
      <c r="O351">
        <v>2</v>
      </c>
      <c r="P351">
        <v>21</v>
      </c>
      <c r="Q351" t="s">
        <v>27</v>
      </c>
      <c r="R351">
        <f>IF(tblSubscriptions[[#This Row],[churned]] = "Yes",1,0)</f>
        <v>1</v>
      </c>
      <c r="S351">
        <f t="shared" si="25"/>
        <v>1</v>
      </c>
      <c r="T351">
        <f t="shared" si="26"/>
        <v>1</v>
      </c>
      <c r="U351">
        <f t="shared" si="27"/>
        <v>0</v>
      </c>
      <c r="V351">
        <f t="shared" si="28"/>
        <v>2</v>
      </c>
      <c r="W351" t="str">
        <f t="shared" si="29"/>
        <v>High Risk</v>
      </c>
    </row>
    <row r="352" spans="1:23">
      <c r="A352" t="s">
        <v>578</v>
      </c>
      <c r="B352" t="s">
        <v>33</v>
      </c>
      <c r="C352" t="s">
        <v>29</v>
      </c>
      <c r="D352" t="s">
        <v>20</v>
      </c>
      <c r="E352" t="s">
        <v>47</v>
      </c>
      <c r="F352">
        <v>4</v>
      </c>
      <c r="G352">
        <v>36</v>
      </c>
      <c r="H352" t="s">
        <v>70</v>
      </c>
      <c r="I352" t="s">
        <v>23</v>
      </c>
      <c r="J352" s="1">
        <v>45494</v>
      </c>
      <c r="K352" t="s">
        <v>24</v>
      </c>
      <c r="L352" t="s">
        <v>175</v>
      </c>
      <c r="M352" t="s">
        <v>102</v>
      </c>
      <c r="N352">
        <v>8</v>
      </c>
      <c r="O352">
        <v>6</v>
      </c>
      <c r="P352">
        <v>47</v>
      </c>
      <c r="Q352" t="s">
        <v>27</v>
      </c>
      <c r="R352">
        <f>IF(tblSubscriptions[[#This Row],[churned]] = "Yes",1,0)</f>
        <v>1</v>
      </c>
      <c r="S352">
        <f t="shared" si="25"/>
        <v>1</v>
      </c>
      <c r="T352">
        <f t="shared" si="26"/>
        <v>1</v>
      </c>
      <c r="U352">
        <f t="shared" si="27"/>
        <v>0</v>
      </c>
      <c r="V352">
        <f t="shared" si="28"/>
        <v>2</v>
      </c>
      <c r="W352" t="str">
        <f t="shared" si="29"/>
        <v>High Risk</v>
      </c>
    </row>
    <row r="353" spans="1:23">
      <c r="A353" t="s">
        <v>579</v>
      </c>
      <c r="B353" t="s">
        <v>33</v>
      </c>
      <c r="C353" t="s">
        <v>19</v>
      </c>
      <c r="D353" t="s">
        <v>73</v>
      </c>
      <c r="E353" t="s">
        <v>35</v>
      </c>
      <c r="F353">
        <v>130</v>
      </c>
      <c r="G353">
        <v>590</v>
      </c>
      <c r="H353" t="s">
        <v>36</v>
      </c>
      <c r="I353" t="s">
        <v>42</v>
      </c>
      <c r="J353" s="1">
        <v>45125</v>
      </c>
      <c r="K353" t="s">
        <v>24</v>
      </c>
      <c r="L353" t="s">
        <v>580</v>
      </c>
      <c r="M353" t="s">
        <v>62</v>
      </c>
      <c r="N353">
        <v>5</v>
      </c>
      <c r="O353">
        <v>4</v>
      </c>
      <c r="P353">
        <v>23</v>
      </c>
      <c r="Q353" t="s">
        <v>27</v>
      </c>
      <c r="R353">
        <f>IF(tblSubscriptions[[#This Row],[churned]] = "Yes",1,0)</f>
        <v>1</v>
      </c>
      <c r="S353">
        <f t="shared" si="25"/>
        <v>1</v>
      </c>
      <c r="T353">
        <f t="shared" si="26"/>
        <v>1</v>
      </c>
      <c r="U353">
        <f t="shared" si="27"/>
        <v>0</v>
      </c>
      <c r="V353">
        <f t="shared" si="28"/>
        <v>2</v>
      </c>
      <c r="W353" t="str">
        <f t="shared" si="29"/>
        <v>High Risk</v>
      </c>
    </row>
    <row r="354" spans="1:23">
      <c r="A354" t="s">
        <v>581</v>
      </c>
      <c r="B354" t="s">
        <v>39</v>
      </c>
      <c r="C354" t="s">
        <v>29</v>
      </c>
      <c r="D354" t="s">
        <v>60</v>
      </c>
      <c r="E354" t="s">
        <v>50</v>
      </c>
      <c r="F354">
        <v>61</v>
      </c>
      <c r="G354">
        <v>1692</v>
      </c>
      <c r="H354" t="s">
        <v>124</v>
      </c>
      <c r="I354" t="s">
        <v>42</v>
      </c>
      <c r="J354" s="1">
        <v>45749</v>
      </c>
      <c r="K354" t="s">
        <v>24</v>
      </c>
      <c r="L354" t="s">
        <v>582</v>
      </c>
      <c r="M354" t="s">
        <v>102</v>
      </c>
      <c r="N354">
        <v>15</v>
      </c>
      <c r="O354">
        <v>5</v>
      </c>
      <c r="P354">
        <v>33</v>
      </c>
      <c r="Q354" t="s">
        <v>27</v>
      </c>
      <c r="R354">
        <f>IF(tblSubscriptions[[#This Row],[churned]] = "Yes",1,0)</f>
        <v>1</v>
      </c>
      <c r="S354">
        <f t="shared" si="25"/>
        <v>1</v>
      </c>
      <c r="T354">
        <f t="shared" si="26"/>
        <v>1</v>
      </c>
      <c r="U354">
        <f t="shared" si="27"/>
        <v>1</v>
      </c>
      <c r="V354">
        <f t="shared" si="28"/>
        <v>3</v>
      </c>
      <c r="W354" t="str">
        <f t="shared" si="29"/>
        <v>High Risk</v>
      </c>
    </row>
    <row r="355" spans="1:23">
      <c r="A355" t="s">
        <v>583</v>
      </c>
      <c r="B355" t="s">
        <v>39</v>
      </c>
      <c r="C355" t="s">
        <v>29</v>
      </c>
      <c r="D355" t="s">
        <v>34</v>
      </c>
      <c r="E355" t="s">
        <v>47</v>
      </c>
      <c r="F355">
        <v>8</v>
      </c>
      <c r="G355">
        <v>347</v>
      </c>
      <c r="H355" t="s">
        <v>36</v>
      </c>
      <c r="I355" t="s">
        <v>23</v>
      </c>
      <c r="J355" s="1">
        <v>44737</v>
      </c>
      <c r="K355" t="s">
        <v>24</v>
      </c>
      <c r="L355" t="s">
        <v>584</v>
      </c>
      <c r="M355" t="s">
        <v>52</v>
      </c>
      <c r="N355">
        <v>10</v>
      </c>
      <c r="O355">
        <v>6</v>
      </c>
      <c r="P355">
        <v>30</v>
      </c>
      <c r="Q355" t="s">
        <v>27</v>
      </c>
      <c r="R355">
        <f>IF(tblSubscriptions[[#This Row],[churned]] = "Yes",1,0)</f>
        <v>1</v>
      </c>
      <c r="S355">
        <f t="shared" si="25"/>
        <v>1</v>
      </c>
      <c r="T355">
        <f t="shared" si="26"/>
        <v>1</v>
      </c>
      <c r="U355">
        <f t="shared" si="27"/>
        <v>0</v>
      </c>
      <c r="V355">
        <f t="shared" si="28"/>
        <v>2</v>
      </c>
      <c r="W355" t="str">
        <f t="shared" si="29"/>
        <v>High Risk</v>
      </c>
    </row>
    <row r="356" spans="1:23">
      <c r="A356" t="s">
        <v>585</v>
      </c>
      <c r="B356" t="s">
        <v>33</v>
      </c>
      <c r="C356" t="s">
        <v>29</v>
      </c>
      <c r="D356" t="s">
        <v>60</v>
      </c>
      <c r="E356" t="s">
        <v>21</v>
      </c>
      <c r="F356">
        <v>43</v>
      </c>
      <c r="G356">
        <v>180</v>
      </c>
      <c r="H356" t="s">
        <v>22</v>
      </c>
      <c r="I356" t="s">
        <v>23</v>
      </c>
      <c r="J356" s="1">
        <v>45592</v>
      </c>
      <c r="K356" t="s">
        <v>27</v>
      </c>
      <c r="L356" t="s">
        <v>31</v>
      </c>
      <c r="M356" t="s">
        <v>31</v>
      </c>
      <c r="N356">
        <v>3</v>
      </c>
      <c r="O356">
        <v>3</v>
      </c>
      <c r="P356">
        <v>63</v>
      </c>
      <c r="Q356" t="s">
        <v>27</v>
      </c>
      <c r="R356">
        <f>IF(tblSubscriptions[[#This Row],[churned]] = "Yes",1,0)</f>
        <v>0</v>
      </c>
      <c r="S356">
        <f t="shared" si="25"/>
        <v>0</v>
      </c>
      <c r="T356">
        <f t="shared" si="26"/>
        <v>1</v>
      </c>
      <c r="U356">
        <f t="shared" si="27"/>
        <v>0</v>
      </c>
      <c r="V356">
        <f t="shared" si="28"/>
        <v>1</v>
      </c>
      <c r="W356" t="str">
        <f t="shared" si="29"/>
        <v>Medium Risk</v>
      </c>
    </row>
    <row r="357" spans="1:23">
      <c r="A357" t="s">
        <v>586</v>
      </c>
      <c r="B357" t="s">
        <v>33</v>
      </c>
      <c r="C357" t="s">
        <v>29</v>
      </c>
      <c r="D357" t="s">
        <v>56</v>
      </c>
      <c r="E357" t="s">
        <v>41</v>
      </c>
      <c r="F357">
        <v>6</v>
      </c>
      <c r="G357">
        <v>43</v>
      </c>
      <c r="H357" t="s">
        <v>22</v>
      </c>
      <c r="I357" t="s">
        <v>23</v>
      </c>
      <c r="J357" s="1">
        <v>44817</v>
      </c>
      <c r="K357" t="s">
        <v>24</v>
      </c>
      <c r="L357" t="s">
        <v>587</v>
      </c>
      <c r="M357" t="s">
        <v>52</v>
      </c>
      <c r="N357">
        <v>15</v>
      </c>
      <c r="O357">
        <v>3</v>
      </c>
      <c r="P357">
        <v>46</v>
      </c>
      <c r="Q357" t="s">
        <v>27</v>
      </c>
      <c r="R357">
        <f>IF(tblSubscriptions[[#This Row],[churned]] = "Yes",1,0)</f>
        <v>1</v>
      </c>
      <c r="S357">
        <f t="shared" si="25"/>
        <v>1</v>
      </c>
      <c r="T357">
        <f t="shared" si="26"/>
        <v>1</v>
      </c>
      <c r="U357">
        <f t="shared" si="27"/>
        <v>1</v>
      </c>
      <c r="V357">
        <f t="shared" si="28"/>
        <v>3</v>
      </c>
      <c r="W357" t="str">
        <f t="shared" si="29"/>
        <v>High Risk</v>
      </c>
    </row>
    <row r="358" spans="1:23">
      <c r="A358" t="s">
        <v>588</v>
      </c>
      <c r="B358" t="s">
        <v>33</v>
      </c>
      <c r="C358" t="s">
        <v>29</v>
      </c>
      <c r="D358" t="s">
        <v>60</v>
      </c>
      <c r="E358" t="s">
        <v>50</v>
      </c>
      <c r="F358">
        <v>92</v>
      </c>
      <c r="G358">
        <v>361</v>
      </c>
      <c r="H358" t="s">
        <v>22</v>
      </c>
      <c r="I358" t="s">
        <v>23</v>
      </c>
      <c r="J358" s="1">
        <v>44949</v>
      </c>
      <c r="K358" t="s">
        <v>24</v>
      </c>
      <c r="L358" t="s">
        <v>589</v>
      </c>
      <c r="M358" t="s">
        <v>102</v>
      </c>
      <c r="N358">
        <v>13</v>
      </c>
      <c r="O358">
        <v>1</v>
      </c>
      <c r="P358">
        <v>38</v>
      </c>
      <c r="Q358" t="s">
        <v>27</v>
      </c>
      <c r="R358">
        <f>IF(tblSubscriptions[[#This Row],[churned]] = "Yes",1,0)</f>
        <v>1</v>
      </c>
      <c r="S358">
        <f t="shared" si="25"/>
        <v>1</v>
      </c>
      <c r="T358">
        <f t="shared" si="26"/>
        <v>1</v>
      </c>
      <c r="U358">
        <f t="shared" si="27"/>
        <v>1</v>
      </c>
      <c r="V358">
        <f t="shared" si="28"/>
        <v>3</v>
      </c>
      <c r="W358" t="str">
        <f t="shared" si="29"/>
        <v>High Risk</v>
      </c>
    </row>
    <row r="359" spans="1:23">
      <c r="A359" t="s">
        <v>590</v>
      </c>
      <c r="B359" t="s">
        <v>33</v>
      </c>
      <c r="C359" t="s">
        <v>29</v>
      </c>
      <c r="D359" t="s">
        <v>97</v>
      </c>
      <c r="E359" t="s">
        <v>21</v>
      </c>
      <c r="F359">
        <v>30</v>
      </c>
      <c r="G359">
        <v>132</v>
      </c>
      <c r="H359" t="s">
        <v>48</v>
      </c>
      <c r="I359" t="s">
        <v>42</v>
      </c>
      <c r="J359" s="1">
        <v>45712</v>
      </c>
      <c r="K359" t="s">
        <v>27</v>
      </c>
      <c r="L359" t="s">
        <v>31</v>
      </c>
      <c r="M359" t="s">
        <v>31</v>
      </c>
      <c r="N359">
        <v>1</v>
      </c>
      <c r="O359">
        <v>7</v>
      </c>
      <c r="P359">
        <v>39</v>
      </c>
      <c r="Q359" t="s">
        <v>27</v>
      </c>
      <c r="R359">
        <f>IF(tblSubscriptions[[#This Row],[churned]] = "Yes",1,0)</f>
        <v>0</v>
      </c>
      <c r="S359">
        <f t="shared" si="25"/>
        <v>1</v>
      </c>
      <c r="T359">
        <f t="shared" si="26"/>
        <v>0</v>
      </c>
      <c r="U359">
        <f t="shared" si="27"/>
        <v>0</v>
      </c>
      <c r="V359">
        <f t="shared" si="28"/>
        <v>1</v>
      </c>
      <c r="W359" t="str">
        <f t="shared" si="29"/>
        <v>Medium Risk</v>
      </c>
    </row>
    <row r="360" spans="1:23">
      <c r="A360" t="s">
        <v>591</v>
      </c>
      <c r="B360" t="s">
        <v>39</v>
      </c>
      <c r="C360" t="s">
        <v>19</v>
      </c>
      <c r="D360" t="s">
        <v>60</v>
      </c>
      <c r="E360" t="s">
        <v>50</v>
      </c>
      <c r="F360">
        <v>118</v>
      </c>
      <c r="G360">
        <v>3691</v>
      </c>
      <c r="H360" t="s">
        <v>30</v>
      </c>
      <c r="I360" t="s">
        <v>64</v>
      </c>
      <c r="J360" s="1">
        <v>45841</v>
      </c>
      <c r="K360" t="s">
        <v>27</v>
      </c>
      <c r="L360" t="s">
        <v>31</v>
      </c>
      <c r="M360" t="s">
        <v>31</v>
      </c>
      <c r="N360">
        <v>10</v>
      </c>
      <c r="O360">
        <v>5</v>
      </c>
      <c r="P360">
        <v>87</v>
      </c>
      <c r="Q360" t="s">
        <v>27</v>
      </c>
      <c r="R360">
        <f>IF(tblSubscriptions[[#This Row],[churned]] = "Yes",1,0)</f>
        <v>0</v>
      </c>
      <c r="S360">
        <f t="shared" si="25"/>
        <v>0</v>
      </c>
      <c r="T360">
        <f t="shared" si="26"/>
        <v>1</v>
      </c>
      <c r="U360">
        <f t="shared" si="27"/>
        <v>0</v>
      </c>
      <c r="V360">
        <f t="shared" si="28"/>
        <v>1</v>
      </c>
      <c r="W360" t="str">
        <f t="shared" si="29"/>
        <v>Medium Risk</v>
      </c>
    </row>
    <row r="361" spans="1:23">
      <c r="A361" t="s">
        <v>592</v>
      </c>
      <c r="B361" t="s">
        <v>33</v>
      </c>
      <c r="C361" t="s">
        <v>29</v>
      </c>
      <c r="D361" t="s">
        <v>97</v>
      </c>
      <c r="E361" t="s">
        <v>47</v>
      </c>
      <c r="F361">
        <v>2</v>
      </c>
      <c r="G361">
        <v>28</v>
      </c>
      <c r="H361" t="s">
        <v>124</v>
      </c>
      <c r="I361" t="s">
        <v>42</v>
      </c>
      <c r="J361" s="1">
        <v>44780</v>
      </c>
      <c r="K361" t="s">
        <v>27</v>
      </c>
      <c r="L361" t="s">
        <v>31</v>
      </c>
      <c r="M361" t="s">
        <v>31</v>
      </c>
      <c r="N361">
        <v>11</v>
      </c>
      <c r="O361">
        <v>6</v>
      </c>
      <c r="P361">
        <v>20</v>
      </c>
      <c r="Q361" t="s">
        <v>27</v>
      </c>
      <c r="R361">
        <f>IF(tblSubscriptions[[#This Row],[churned]] = "Yes",1,0)</f>
        <v>0</v>
      </c>
      <c r="S361">
        <f t="shared" si="25"/>
        <v>1</v>
      </c>
      <c r="T361">
        <f t="shared" si="26"/>
        <v>1</v>
      </c>
      <c r="U361">
        <f t="shared" si="27"/>
        <v>1</v>
      </c>
      <c r="V361">
        <f t="shared" si="28"/>
        <v>3</v>
      </c>
      <c r="W361" t="str">
        <f t="shared" si="29"/>
        <v>High Risk</v>
      </c>
    </row>
    <row r="362" spans="1:23">
      <c r="A362" t="s">
        <v>593</v>
      </c>
      <c r="B362" t="s">
        <v>18</v>
      </c>
      <c r="C362" t="s">
        <v>29</v>
      </c>
      <c r="D362" t="s">
        <v>20</v>
      </c>
      <c r="E362" t="s">
        <v>47</v>
      </c>
      <c r="F362">
        <v>7</v>
      </c>
      <c r="G362">
        <v>128</v>
      </c>
      <c r="H362" t="s">
        <v>70</v>
      </c>
      <c r="I362" t="s">
        <v>42</v>
      </c>
      <c r="J362" s="1">
        <v>45451</v>
      </c>
      <c r="K362" t="s">
        <v>27</v>
      </c>
      <c r="L362" t="s">
        <v>31</v>
      </c>
      <c r="M362" t="s">
        <v>31</v>
      </c>
      <c r="N362">
        <v>12</v>
      </c>
      <c r="O362">
        <v>7</v>
      </c>
      <c r="P362">
        <v>31</v>
      </c>
      <c r="Q362" t="s">
        <v>27</v>
      </c>
      <c r="R362">
        <f>IF(tblSubscriptions[[#This Row],[churned]] = "Yes",1,0)</f>
        <v>0</v>
      </c>
      <c r="S362">
        <f t="shared" si="25"/>
        <v>1</v>
      </c>
      <c r="T362">
        <f t="shared" si="26"/>
        <v>0</v>
      </c>
      <c r="U362">
        <f t="shared" si="27"/>
        <v>1</v>
      </c>
      <c r="V362">
        <f t="shared" si="28"/>
        <v>2</v>
      </c>
      <c r="W362" t="str">
        <f t="shared" si="29"/>
        <v>High Risk</v>
      </c>
    </row>
    <row r="363" spans="1:23">
      <c r="A363" t="s">
        <v>594</v>
      </c>
      <c r="B363" t="s">
        <v>87</v>
      </c>
      <c r="C363" t="s">
        <v>19</v>
      </c>
      <c r="D363" t="s">
        <v>60</v>
      </c>
      <c r="E363" t="s">
        <v>21</v>
      </c>
      <c r="F363">
        <v>59</v>
      </c>
      <c r="G363">
        <v>4840</v>
      </c>
      <c r="H363" t="s">
        <v>22</v>
      </c>
      <c r="I363" t="s">
        <v>23</v>
      </c>
      <c r="J363" s="1">
        <v>45190</v>
      </c>
      <c r="K363" t="s">
        <v>27</v>
      </c>
      <c r="L363" t="s">
        <v>31</v>
      </c>
      <c r="M363" t="s">
        <v>31</v>
      </c>
      <c r="N363">
        <v>0</v>
      </c>
      <c r="O363">
        <v>3</v>
      </c>
      <c r="P363">
        <v>90</v>
      </c>
      <c r="Q363" t="s">
        <v>27</v>
      </c>
      <c r="R363">
        <f>IF(tblSubscriptions[[#This Row],[churned]] = "Yes",1,0)</f>
        <v>0</v>
      </c>
      <c r="S363">
        <f t="shared" si="25"/>
        <v>0</v>
      </c>
      <c r="T363">
        <f t="shared" si="26"/>
        <v>1</v>
      </c>
      <c r="U363">
        <f t="shared" si="27"/>
        <v>0</v>
      </c>
      <c r="V363">
        <f t="shared" si="28"/>
        <v>1</v>
      </c>
      <c r="W363" t="str">
        <f t="shared" si="29"/>
        <v>Medium Risk</v>
      </c>
    </row>
    <row r="364" spans="1:23">
      <c r="A364" t="s">
        <v>595</v>
      </c>
      <c r="B364" t="s">
        <v>87</v>
      </c>
      <c r="C364" t="s">
        <v>19</v>
      </c>
      <c r="D364" t="s">
        <v>46</v>
      </c>
      <c r="E364" t="s">
        <v>47</v>
      </c>
      <c r="F364">
        <v>7</v>
      </c>
      <c r="G364">
        <v>948</v>
      </c>
      <c r="H364" t="s">
        <v>124</v>
      </c>
      <c r="I364" t="s">
        <v>23</v>
      </c>
      <c r="J364" s="1">
        <v>45357</v>
      </c>
      <c r="K364" t="s">
        <v>27</v>
      </c>
      <c r="L364" t="s">
        <v>31</v>
      </c>
      <c r="M364" t="s">
        <v>31</v>
      </c>
      <c r="N364">
        <v>2</v>
      </c>
      <c r="O364">
        <v>6</v>
      </c>
      <c r="P364">
        <v>41</v>
      </c>
      <c r="Q364" t="s">
        <v>27</v>
      </c>
      <c r="R364">
        <f>IF(tblSubscriptions[[#This Row],[churned]] = "Yes",1,0)</f>
        <v>0</v>
      </c>
      <c r="S364">
        <f t="shared" si="25"/>
        <v>1</v>
      </c>
      <c r="T364">
        <f t="shared" si="26"/>
        <v>1</v>
      </c>
      <c r="U364">
        <f t="shared" si="27"/>
        <v>0</v>
      </c>
      <c r="V364">
        <f t="shared" si="28"/>
        <v>2</v>
      </c>
      <c r="W364" t="str">
        <f t="shared" si="29"/>
        <v>High Risk</v>
      </c>
    </row>
    <row r="365" spans="1:23">
      <c r="A365" t="s">
        <v>596</v>
      </c>
      <c r="B365" t="s">
        <v>39</v>
      </c>
      <c r="C365" t="s">
        <v>19</v>
      </c>
      <c r="D365" t="s">
        <v>83</v>
      </c>
      <c r="E365" t="s">
        <v>41</v>
      </c>
      <c r="F365">
        <v>17</v>
      </c>
      <c r="G365">
        <v>677</v>
      </c>
      <c r="H365" t="s">
        <v>36</v>
      </c>
      <c r="I365" t="s">
        <v>23</v>
      </c>
      <c r="J365" s="1">
        <v>44656</v>
      </c>
      <c r="K365" t="s">
        <v>24</v>
      </c>
      <c r="L365" t="s">
        <v>522</v>
      </c>
      <c r="M365" t="s">
        <v>26</v>
      </c>
      <c r="N365">
        <v>7</v>
      </c>
      <c r="O365">
        <v>4</v>
      </c>
      <c r="P365">
        <v>13</v>
      </c>
      <c r="Q365" t="s">
        <v>27</v>
      </c>
      <c r="R365">
        <f>IF(tblSubscriptions[[#This Row],[churned]] = "Yes",1,0)</f>
        <v>1</v>
      </c>
      <c r="S365">
        <f t="shared" si="25"/>
        <v>1</v>
      </c>
      <c r="T365">
        <f t="shared" si="26"/>
        <v>1</v>
      </c>
      <c r="U365">
        <f t="shared" si="27"/>
        <v>0</v>
      </c>
      <c r="V365">
        <f t="shared" si="28"/>
        <v>2</v>
      </c>
      <c r="W365" t="str">
        <f t="shared" si="29"/>
        <v>High Risk</v>
      </c>
    </row>
    <row r="366" spans="1:23">
      <c r="A366" t="s">
        <v>597</v>
      </c>
      <c r="B366" t="s">
        <v>33</v>
      </c>
      <c r="C366" t="s">
        <v>19</v>
      </c>
      <c r="D366" t="s">
        <v>97</v>
      </c>
      <c r="E366" t="s">
        <v>41</v>
      </c>
      <c r="F366">
        <v>14</v>
      </c>
      <c r="G366">
        <v>86</v>
      </c>
      <c r="H366" t="s">
        <v>36</v>
      </c>
      <c r="I366" t="s">
        <v>84</v>
      </c>
      <c r="J366" s="1">
        <v>45362</v>
      </c>
      <c r="K366" t="s">
        <v>24</v>
      </c>
      <c r="L366" t="s">
        <v>598</v>
      </c>
      <c r="M366" t="s">
        <v>58</v>
      </c>
      <c r="N366">
        <v>9</v>
      </c>
      <c r="O366">
        <v>2</v>
      </c>
      <c r="P366">
        <v>14</v>
      </c>
      <c r="Q366" t="s">
        <v>27</v>
      </c>
      <c r="R366">
        <f>IF(tblSubscriptions[[#This Row],[churned]] = "Yes",1,0)</f>
        <v>1</v>
      </c>
      <c r="S366">
        <f t="shared" si="25"/>
        <v>1</v>
      </c>
      <c r="T366">
        <f t="shared" si="26"/>
        <v>1</v>
      </c>
      <c r="U366">
        <f t="shared" si="27"/>
        <v>0</v>
      </c>
      <c r="V366">
        <f t="shared" si="28"/>
        <v>2</v>
      </c>
      <c r="W366" t="str">
        <f t="shared" si="29"/>
        <v>High Risk</v>
      </c>
    </row>
    <row r="367" spans="1:23">
      <c r="A367" t="s">
        <v>599</v>
      </c>
      <c r="B367" t="s">
        <v>18</v>
      </c>
      <c r="C367" t="s">
        <v>19</v>
      </c>
      <c r="D367" t="s">
        <v>73</v>
      </c>
      <c r="E367" t="s">
        <v>21</v>
      </c>
      <c r="F367">
        <v>52</v>
      </c>
      <c r="G367">
        <v>683</v>
      </c>
      <c r="H367" t="s">
        <v>70</v>
      </c>
      <c r="I367" t="s">
        <v>23</v>
      </c>
      <c r="J367" s="1">
        <v>45928</v>
      </c>
      <c r="K367" t="s">
        <v>27</v>
      </c>
      <c r="L367" t="s">
        <v>31</v>
      </c>
      <c r="M367" t="s">
        <v>31</v>
      </c>
      <c r="N367">
        <v>11</v>
      </c>
      <c r="O367">
        <v>8</v>
      </c>
      <c r="P367">
        <v>17</v>
      </c>
      <c r="Q367" t="s">
        <v>27</v>
      </c>
      <c r="R367">
        <f>IF(tblSubscriptions[[#This Row],[churned]] = "Yes",1,0)</f>
        <v>0</v>
      </c>
      <c r="S367">
        <f t="shared" si="25"/>
        <v>1</v>
      </c>
      <c r="T367">
        <f t="shared" si="26"/>
        <v>0</v>
      </c>
      <c r="U367">
        <f t="shared" si="27"/>
        <v>1</v>
      </c>
      <c r="V367">
        <f t="shared" si="28"/>
        <v>2</v>
      </c>
      <c r="W367" t="str">
        <f t="shared" si="29"/>
        <v>High Risk</v>
      </c>
    </row>
    <row r="368" spans="1:23">
      <c r="A368" t="s">
        <v>600</v>
      </c>
      <c r="B368" t="s">
        <v>33</v>
      </c>
      <c r="C368" t="s">
        <v>29</v>
      </c>
      <c r="D368" t="s">
        <v>97</v>
      </c>
      <c r="E368" t="s">
        <v>47</v>
      </c>
      <c r="F368">
        <v>5</v>
      </c>
      <c r="G368">
        <v>39</v>
      </c>
      <c r="H368" t="s">
        <v>48</v>
      </c>
      <c r="I368" t="s">
        <v>23</v>
      </c>
      <c r="J368" s="1">
        <v>45136</v>
      </c>
      <c r="K368" t="s">
        <v>27</v>
      </c>
      <c r="L368" t="s">
        <v>31</v>
      </c>
      <c r="M368" t="s">
        <v>31</v>
      </c>
      <c r="N368">
        <v>1</v>
      </c>
      <c r="O368">
        <v>3</v>
      </c>
      <c r="P368">
        <v>80</v>
      </c>
      <c r="Q368" t="s">
        <v>27</v>
      </c>
      <c r="R368">
        <f>IF(tblSubscriptions[[#This Row],[churned]] = "Yes",1,0)</f>
        <v>0</v>
      </c>
      <c r="S368">
        <f t="shared" si="25"/>
        <v>0</v>
      </c>
      <c r="T368">
        <f t="shared" si="26"/>
        <v>1</v>
      </c>
      <c r="U368">
        <f t="shared" si="27"/>
        <v>0</v>
      </c>
      <c r="V368">
        <f t="shared" si="28"/>
        <v>1</v>
      </c>
      <c r="W368" t="str">
        <f t="shared" si="29"/>
        <v>Medium Risk</v>
      </c>
    </row>
    <row r="369" spans="1:23">
      <c r="A369" t="s">
        <v>601</v>
      </c>
      <c r="B369" t="s">
        <v>18</v>
      </c>
      <c r="C369" t="s">
        <v>29</v>
      </c>
      <c r="D369" t="s">
        <v>56</v>
      </c>
      <c r="E369" t="s">
        <v>41</v>
      </c>
      <c r="F369">
        <v>25</v>
      </c>
      <c r="G369">
        <v>309</v>
      </c>
      <c r="H369" t="s">
        <v>36</v>
      </c>
      <c r="I369" t="s">
        <v>23</v>
      </c>
      <c r="J369" s="1">
        <v>45429</v>
      </c>
      <c r="K369" t="s">
        <v>27</v>
      </c>
      <c r="L369" t="s">
        <v>31</v>
      </c>
      <c r="M369" t="s">
        <v>31</v>
      </c>
      <c r="N369">
        <v>3</v>
      </c>
      <c r="O369">
        <v>6</v>
      </c>
      <c r="P369">
        <v>92</v>
      </c>
      <c r="Q369" t="s">
        <v>27</v>
      </c>
      <c r="R369">
        <f>IF(tblSubscriptions[[#This Row],[churned]] = "Yes",1,0)</f>
        <v>0</v>
      </c>
      <c r="S369">
        <f t="shared" si="25"/>
        <v>0</v>
      </c>
      <c r="T369">
        <f t="shared" si="26"/>
        <v>1</v>
      </c>
      <c r="U369">
        <f t="shared" si="27"/>
        <v>0</v>
      </c>
      <c r="V369">
        <f t="shared" si="28"/>
        <v>1</v>
      </c>
      <c r="W369" t="str">
        <f t="shared" si="29"/>
        <v>Medium Risk</v>
      </c>
    </row>
    <row r="370" spans="1:23">
      <c r="A370" t="s">
        <v>602</v>
      </c>
      <c r="B370" t="s">
        <v>87</v>
      </c>
      <c r="C370" t="s">
        <v>19</v>
      </c>
      <c r="D370" t="s">
        <v>20</v>
      </c>
      <c r="E370" t="s">
        <v>41</v>
      </c>
      <c r="F370">
        <v>25</v>
      </c>
      <c r="G370">
        <v>2295</v>
      </c>
      <c r="H370" t="s">
        <v>30</v>
      </c>
      <c r="I370" t="s">
        <v>23</v>
      </c>
      <c r="J370" s="1">
        <v>45725</v>
      </c>
      <c r="K370" t="s">
        <v>24</v>
      </c>
      <c r="L370" t="s">
        <v>603</v>
      </c>
      <c r="M370" t="s">
        <v>58</v>
      </c>
      <c r="N370">
        <v>9</v>
      </c>
      <c r="O370">
        <v>6</v>
      </c>
      <c r="P370">
        <v>37</v>
      </c>
      <c r="Q370" t="s">
        <v>27</v>
      </c>
      <c r="R370">
        <f>IF(tblSubscriptions[[#This Row],[churned]] = "Yes",1,0)</f>
        <v>1</v>
      </c>
      <c r="S370">
        <f t="shared" si="25"/>
        <v>1</v>
      </c>
      <c r="T370">
        <f t="shared" si="26"/>
        <v>1</v>
      </c>
      <c r="U370">
        <f t="shared" si="27"/>
        <v>0</v>
      </c>
      <c r="V370">
        <f t="shared" si="28"/>
        <v>2</v>
      </c>
      <c r="W370" t="str">
        <f t="shared" si="29"/>
        <v>High Risk</v>
      </c>
    </row>
    <row r="371" spans="1:23">
      <c r="A371" t="s">
        <v>604</v>
      </c>
      <c r="B371" t="s">
        <v>33</v>
      </c>
      <c r="C371" t="s">
        <v>19</v>
      </c>
      <c r="D371" t="s">
        <v>40</v>
      </c>
      <c r="E371" t="s">
        <v>50</v>
      </c>
      <c r="F371">
        <v>117</v>
      </c>
      <c r="G371">
        <v>534</v>
      </c>
      <c r="H371" t="s">
        <v>22</v>
      </c>
      <c r="I371" t="s">
        <v>23</v>
      </c>
      <c r="J371" s="1">
        <v>45492</v>
      </c>
      <c r="K371" t="s">
        <v>24</v>
      </c>
      <c r="L371" t="s">
        <v>603</v>
      </c>
      <c r="M371" t="s">
        <v>26</v>
      </c>
      <c r="N371">
        <v>8</v>
      </c>
      <c r="O371">
        <v>6</v>
      </c>
      <c r="P371">
        <v>10</v>
      </c>
      <c r="Q371" t="s">
        <v>27</v>
      </c>
      <c r="R371">
        <f>IF(tblSubscriptions[[#This Row],[churned]] = "Yes",1,0)</f>
        <v>1</v>
      </c>
      <c r="S371">
        <f t="shared" si="25"/>
        <v>1</v>
      </c>
      <c r="T371">
        <f t="shared" si="26"/>
        <v>1</v>
      </c>
      <c r="U371">
        <f t="shared" si="27"/>
        <v>0</v>
      </c>
      <c r="V371">
        <f t="shared" si="28"/>
        <v>2</v>
      </c>
      <c r="W371" t="str">
        <f t="shared" si="29"/>
        <v>High Risk</v>
      </c>
    </row>
    <row r="372" spans="1:23">
      <c r="A372" t="s">
        <v>605</v>
      </c>
      <c r="B372" t="s">
        <v>33</v>
      </c>
      <c r="C372" t="s">
        <v>19</v>
      </c>
      <c r="D372" t="s">
        <v>97</v>
      </c>
      <c r="E372" t="s">
        <v>21</v>
      </c>
      <c r="F372">
        <v>39</v>
      </c>
      <c r="G372">
        <v>194</v>
      </c>
      <c r="H372" t="s">
        <v>48</v>
      </c>
      <c r="I372" t="s">
        <v>84</v>
      </c>
      <c r="J372" s="1">
        <v>45352</v>
      </c>
      <c r="K372" t="s">
        <v>24</v>
      </c>
      <c r="L372" t="s">
        <v>606</v>
      </c>
      <c r="M372" t="s">
        <v>26</v>
      </c>
      <c r="N372">
        <v>13</v>
      </c>
      <c r="O372">
        <v>1</v>
      </c>
      <c r="P372">
        <v>22</v>
      </c>
      <c r="Q372" t="s">
        <v>27</v>
      </c>
      <c r="R372">
        <f>IF(tblSubscriptions[[#This Row],[churned]] = "Yes",1,0)</f>
        <v>1</v>
      </c>
      <c r="S372">
        <f t="shared" si="25"/>
        <v>1</v>
      </c>
      <c r="T372">
        <f t="shared" si="26"/>
        <v>1</v>
      </c>
      <c r="U372">
        <f t="shared" si="27"/>
        <v>1</v>
      </c>
      <c r="V372">
        <f t="shared" si="28"/>
        <v>3</v>
      </c>
      <c r="W372" t="str">
        <f t="shared" si="29"/>
        <v>High Risk</v>
      </c>
    </row>
    <row r="373" spans="1:23">
      <c r="A373" t="s">
        <v>607</v>
      </c>
      <c r="B373" t="s">
        <v>39</v>
      </c>
      <c r="C373" t="s">
        <v>19</v>
      </c>
      <c r="D373" t="s">
        <v>83</v>
      </c>
      <c r="E373" t="s">
        <v>41</v>
      </c>
      <c r="F373">
        <v>29</v>
      </c>
      <c r="G373">
        <v>1035</v>
      </c>
      <c r="H373" t="s">
        <v>70</v>
      </c>
      <c r="I373" t="s">
        <v>64</v>
      </c>
      <c r="J373" s="1">
        <v>44967</v>
      </c>
      <c r="K373" t="s">
        <v>24</v>
      </c>
      <c r="L373" t="s">
        <v>608</v>
      </c>
      <c r="M373" t="s">
        <v>66</v>
      </c>
      <c r="N373">
        <v>12</v>
      </c>
      <c r="O373">
        <v>1</v>
      </c>
      <c r="P373">
        <v>34</v>
      </c>
      <c r="Q373" t="s">
        <v>27</v>
      </c>
      <c r="R373">
        <f>IF(tblSubscriptions[[#This Row],[churned]] = "Yes",1,0)</f>
        <v>1</v>
      </c>
      <c r="S373">
        <f t="shared" si="25"/>
        <v>1</v>
      </c>
      <c r="T373">
        <f t="shared" si="26"/>
        <v>1</v>
      </c>
      <c r="U373">
        <f t="shared" si="27"/>
        <v>1</v>
      </c>
      <c r="V373">
        <f t="shared" si="28"/>
        <v>3</v>
      </c>
      <c r="W373" t="str">
        <f t="shared" si="29"/>
        <v>High Risk</v>
      </c>
    </row>
    <row r="374" spans="1:23">
      <c r="A374" t="s">
        <v>609</v>
      </c>
      <c r="B374" t="s">
        <v>39</v>
      </c>
      <c r="C374" t="s">
        <v>19</v>
      </c>
      <c r="D374" t="s">
        <v>34</v>
      </c>
      <c r="E374" t="s">
        <v>47</v>
      </c>
      <c r="F374">
        <v>4</v>
      </c>
      <c r="G374">
        <v>289</v>
      </c>
      <c r="H374" t="s">
        <v>36</v>
      </c>
      <c r="I374" t="s">
        <v>42</v>
      </c>
      <c r="J374" s="1">
        <v>45959</v>
      </c>
      <c r="K374" t="s">
        <v>27</v>
      </c>
      <c r="L374" t="s">
        <v>31</v>
      </c>
      <c r="M374" t="s">
        <v>31</v>
      </c>
      <c r="N374">
        <v>6</v>
      </c>
      <c r="O374">
        <v>2</v>
      </c>
      <c r="P374">
        <v>63</v>
      </c>
      <c r="Q374" t="s">
        <v>27</v>
      </c>
      <c r="R374">
        <f>IF(tblSubscriptions[[#This Row],[churned]] = "Yes",1,0)</f>
        <v>0</v>
      </c>
      <c r="S374">
        <f t="shared" si="25"/>
        <v>0</v>
      </c>
      <c r="T374">
        <f t="shared" si="26"/>
        <v>1</v>
      </c>
      <c r="U374">
        <f t="shared" si="27"/>
        <v>0</v>
      </c>
      <c r="V374">
        <f t="shared" si="28"/>
        <v>1</v>
      </c>
      <c r="W374" t="str">
        <f t="shared" si="29"/>
        <v>Medium Risk</v>
      </c>
    </row>
    <row r="375" spans="1:23">
      <c r="A375" t="s">
        <v>610</v>
      </c>
      <c r="B375" t="s">
        <v>33</v>
      </c>
      <c r="C375" t="s">
        <v>19</v>
      </c>
      <c r="D375" t="s">
        <v>40</v>
      </c>
      <c r="E375" t="s">
        <v>50</v>
      </c>
      <c r="F375">
        <v>139</v>
      </c>
      <c r="G375">
        <v>629</v>
      </c>
      <c r="H375" t="s">
        <v>70</v>
      </c>
      <c r="I375" t="s">
        <v>64</v>
      </c>
      <c r="J375" s="1">
        <v>44569</v>
      </c>
      <c r="K375" t="s">
        <v>24</v>
      </c>
      <c r="L375" t="s">
        <v>611</v>
      </c>
      <c r="M375" t="s">
        <v>102</v>
      </c>
      <c r="N375">
        <v>10</v>
      </c>
      <c r="O375">
        <v>6</v>
      </c>
      <c r="P375">
        <v>20</v>
      </c>
      <c r="Q375" t="s">
        <v>27</v>
      </c>
      <c r="R375">
        <f>IF(tblSubscriptions[[#This Row],[churned]] = "Yes",1,0)</f>
        <v>1</v>
      </c>
      <c r="S375">
        <f t="shared" si="25"/>
        <v>1</v>
      </c>
      <c r="T375">
        <f t="shared" si="26"/>
        <v>1</v>
      </c>
      <c r="U375">
        <f t="shared" si="27"/>
        <v>0</v>
      </c>
      <c r="V375">
        <f t="shared" si="28"/>
        <v>2</v>
      </c>
      <c r="W375" t="str">
        <f t="shared" si="29"/>
        <v>High Risk</v>
      </c>
    </row>
    <row r="376" spans="1:23">
      <c r="A376" t="s">
        <v>612</v>
      </c>
      <c r="B376" t="s">
        <v>33</v>
      </c>
      <c r="C376" t="s">
        <v>29</v>
      </c>
      <c r="D376" t="s">
        <v>83</v>
      </c>
      <c r="E376" t="s">
        <v>41</v>
      </c>
      <c r="F376">
        <v>16</v>
      </c>
      <c r="G376">
        <v>80</v>
      </c>
      <c r="H376" t="s">
        <v>22</v>
      </c>
      <c r="I376" t="s">
        <v>42</v>
      </c>
      <c r="J376" s="1">
        <v>44693</v>
      </c>
      <c r="K376" t="s">
        <v>24</v>
      </c>
      <c r="L376" t="s">
        <v>613</v>
      </c>
      <c r="M376" t="s">
        <v>102</v>
      </c>
      <c r="N376">
        <v>7</v>
      </c>
      <c r="O376">
        <v>5</v>
      </c>
      <c r="P376">
        <v>18</v>
      </c>
      <c r="Q376" t="s">
        <v>27</v>
      </c>
      <c r="R376">
        <f>IF(tblSubscriptions[[#This Row],[churned]] = "Yes",1,0)</f>
        <v>1</v>
      </c>
      <c r="S376">
        <f t="shared" si="25"/>
        <v>1</v>
      </c>
      <c r="T376">
        <f t="shared" si="26"/>
        <v>1</v>
      </c>
      <c r="U376">
        <f t="shared" si="27"/>
        <v>0</v>
      </c>
      <c r="V376">
        <f t="shared" si="28"/>
        <v>2</v>
      </c>
      <c r="W376" t="str">
        <f t="shared" si="29"/>
        <v>High Risk</v>
      </c>
    </row>
    <row r="377" spans="1:23">
      <c r="A377" t="s">
        <v>614</v>
      </c>
      <c r="B377" t="s">
        <v>87</v>
      </c>
      <c r="C377" t="s">
        <v>29</v>
      </c>
      <c r="D377" t="s">
        <v>60</v>
      </c>
      <c r="E377" t="s">
        <v>21</v>
      </c>
      <c r="F377">
        <v>46</v>
      </c>
      <c r="G377">
        <v>3287</v>
      </c>
      <c r="H377" t="s">
        <v>36</v>
      </c>
      <c r="I377" t="s">
        <v>23</v>
      </c>
      <c r="J377" s="1">
        <v>44994</v>
      </c>
      <c r="K377" t="s">
        <v>24</v>
      </c>
      <c r="L377" t="s">
        <v>615</v>
      </c>
      <c r="M377" t="s">
        <v>75</v>
      </c>
      <c r="N377">
        <v>12</v>
      </c>
      <c r="O377">
        <v>5</v>
      </c>
      <c r="P377">
        <v>27</v>
      </c>
      <c r="Q377" t="s">
        <v>27</v>
      </c>
      <c r="R377">
        <f>IF(tblSubscriptions[[#This Row],[churned]] = "Yes",1,0)</f>
        <v>1</v>
      </c>
      <c r="S377">
        <f t="shared" si="25"/>
        <v>1</v>
      </c>
      <c r="T377">
        <f t="shared" si="26"/>
        <v>1</v>
      </c>
      <c r="U377">
        <f t="shared" si="27"/>
        <v>1</v>
      </c>
      <c r="V377">
        <f t="shared" si="28"/>
        <v>3</v>
      </c>
      <c r="W377" t="str">
        <f t="shared" si="29"/>
        <v>High Risk</v>
      </c>
    </row>
    <row r="378" spans="1:23">
      <c r="A378" t="s">
        <v>616</v>
      </c>
      <c r="B378" t="s">
        <v>33</v>
      </c>
      <c r="C378" t="s">
        <v>19</v>
      </c>
      <c r="D378" t="s">
        <v>83</v>
      </c>
      <c r="E378" t="s">
        <v>41</v>
      </c>
      <c r="F378">
        <v>26</v>
      </c>
      <c r="G378">
        <v>138</v>
      </c>
      <c r="H378" t="s">
        <v>22</v>
      </c>
      <c r="I378" t="s">
        <v>84</v>
      </c>
      <c r="J378" s="1">
        <v>45191</v>
      </c>
      <c r="K378" t="s">
        <v>24</v>
      </c>
      <c r="L378" t="s">
        <v>617</v>
      </c>
      <c r="M378" t="s">
        <v>52</v>
      </c>
      <c r="N378">
        <v>12</v>
      </c>
      <c r="O378">
        <v>1</v>
      </c>
      <c r="P378">
        <v>33</v>
      </c>
      <c r="Q378" t="s">
        <v>27</v>
      </c>
      <c r="R378">
        <f>IF(tblSubscriptions[[#This Row],[churned]] = "Yes",1,0)</f>
        <v>1</v>
      </c>
      <c r="S378">
        <f t="shared" si="25"/>
        <v>1</v>
      </c>
      <c r="T378">
        <f t="shared" si="26"/>
        <v>1</v>
      </c>
      <c r="U378">
        <f t="shared" si="27"/>
        <v>1</v>
      </c>
      <c r="V378">
        <f t="shared" si="28"/>
        <v>3</v>
      </c>
      <c r="W378" t="str">
        <f t="shared" si="29"/>
        <v>High Risk</v>
      </c>
    </row>
    <row r="379" spans="1:23">
      <c r="A379" t="s">
        <v>618</v>
      </c>
      <c r="B379" t="s">
        <v>39</v>
      </c>
      <c r="C379" t="s">
        <v>19</v>
      </c>
      <c r="D379" t="s">
        <v>44</v>
      </c>
      <c r="E379" t="s">
        <v>41</v>
      </c>
      <c r="F379">
        <v>5</v>
      </c>
      <c r="G379">
        <v>318</v>
      </c>
      <c r="H379" t="s">
        <v>22</v>
      </c>
      <c r="I379" t="s">
        <v>64</v>
      </c>
      <c r="J379" s="1">
        <v>44692</v>
      </c>
      <c r="K379" t="s">
        <v>24</v>
      </c>
      <c r="L379" t="s">
        <v>619</v>
      </c>
      <c r="M379" t="s">
        <v>52</v>
      </c>
      <c r="N379">
        <v>10</v>
      </c>
      <c r="O379">
        <v>6</v>
      </c>
      <c r="P379">
        <v>31</v>
      </c>
      <c r="Q379" t="s">
        <v>27</v>
      </c>
      <c r="R379">
        <f>IF(tblSubscriptions[[#This Row],[churned]] = "Yes",1,0)</f>
        <v>1</v>
      </c>
      <c r="S379">
        <f t="shared" si="25"/>
        <v>1</v>
      </c>
      <c r="T379">
        <f t="shared" si="26"/>
        <v>1</v>
      </c>
      <c r="U379">
        <f t="shared" si="27"/>
        <v>0</v>
      </c>
      <c r="V379">
        <f t="shared" si="28"/>
        <v>2</v>
      </c>
      <c r="W379" t="str">
        <f t="shared" si="29"/>
        <v>High Risk</v>
      </c>
    </row>
    <row r="380" spans="1:23">
      <c r="A380" t="s">
        <v>620</v>
      </c>
      <c r="B380" t="s">
        <v>33</v>
      </c>
      <c r="C380" t="s">
        <v>29</v>
      </c>
      <c r="D380" t="s">
        <v>46</v>
      </c>
      <c r="E380" t="s">
        <v>50</v>
      </c>
      <c r="F380">
        <v>62</v>
      </c>
      <c r="G380">
        <v>250</v>
      </c>
      <c r="H380" t="s">
        <v>124</v>
      </c>
      <c r="I380" t="s">
        <v>64</v>
      </c>
      <c r="J380" s="1">
        <v>45129</v>
      </c>
      <c r="K380" t="s">
        <v>24</v>
      </c>
      <c r="L380" t="s">
        <v>621</v>
      </c>
      <c r="M380" t="s">
        <v>102</v>
      </c>
      <c r="N380">
        <v>13</v>
      </c>
      <c r="O380">
        <v>6</v>
      </c>
      <c r="P380">
        <v>10</v>
      </c>
      <c r="Q380" t="s">
        <v>27</v>
      </c>
      <c r="R380">
        <f>IF(tblSubscriptions[[#This Row],[churned]] = "Yes",1,0)</f>
        <v>1</v>
      </c>
      <c r="S380">
        <f t="shared" si="25"/>
        <v>1</v>
      </c>
      <c r="T380">
        <f t="shared" si="26"/>
        <v>1</v>
      </c>
      <c r="U380">
        <f t="shared" si="27"/>
        <v>1</v>
      </c>
      <c r="V380">
        <f t="shared" si="28"/>
        <v>3</v>
      </c>
      <c r="W380" t="str">
        <f t="shared" si="29"/>
        <v>High Risk</v>
      </c>
    </row>
    <row r="381" spans="1:23">
      <c r="A381" t="s">
        <v>622</v>
      </c>
      <c r="B381" t="s">
        <v>39</v>
      </c>
      <c r="C381" t="s">
        <v>29</v>
      </c>
      <c r="D381" t="s">
        <v>44</v>
      </c>
      <c r="E381" t="s">
        <v>50</v>
      </c>
      <c r="F381">
        <v>150</v>
      </c>
      <c r="G381">
        <v>3950</v>
      </c>
      <c r="H381" t="s">
        <v>22</v>
      </c>
      <c r="I381" t="s">
        <v>23</v>
      </c>
      <c r="J381" s="1">
        <v>45389</v>
      </c>
      <c r="K381" t="s">
        <v>27</v>
      </c>
      <c r="L381" t="s">
        <v>31</v>
      </c>
      <c r="M381" t="s">
        <v>31</v>
      </c>
      <c r="N381">
        <v>7</v>
      </c>
      <c r="O381">
        <v>9</v>
      </c>
      <c r="P381">
        <v>67</v>
      </c>
      <c r="Q381" t="s">
        <v>27</v>
      </c>
      <c r="R381">
        <f>IF(tblSubscriptions[[#This Row],[churned]] = "Yes",1,0)</f>
        <v>0</v>
      </c>
      <c r="S381">
        <f t="shared" si="25"/>
        <v>0</v>
      </c>
      <c r="T381">
        <f t="shared" si="26"/>
        <v>0</v>
      </c>
      <c r="U381">
        <f t="shared" si="27"/>
        <v>0</v>
      </c>
      <c r="V381">
        <f t="shared" si="28"/>
        <v>0</v>
      </c>
      <c r="W381" t="str">
        <f t="shared" si="29"/>
        <v>Low Risk</v>
      </c>
    </row>
    <row r="382" spans="1:23">
      <c r="A382" t="s">
        <v>623</v>
      </c>
      <c r="B382" t="s">
        <v>33</v>
      </c>
      <c r="C382" t="s">
        <v>29</v>
      </c>
      <c r="D382" t="s">
        <v>40</v>
      </c>
      <c r="E382" t="s">
        <v>50</v>
      </c>
      <c r="F382">
        <v>126</v>
      </c>
      <c r="G382">
        <v>487</v>
      </c>
      <c r="H382" t="s">
        <v>30</v>
      </c>
      <c r="I382" t="s">
        <v>64</v>
      </c>
      <c r="J382" s="1">
        <v>44799</v>
      </c>
      <c r="K382" t="s">
        <v>27</v>
      </c>
      <c r="L382" t="s">
        <v>31</v>
      </c>
      <c r="M382" t="s">
        <v>31</v>
      </c>
      <c r="N382">
        <v>11</v>
      </c>
      <c r="O382">
        <v>5</v>
      </c>
      <c r="P382">
        <v>74</v>
      </c>
      <c r="Q382" t="s">
        <v>27</v>
      </c>
      <c r="R382">
        <f>IF(tblSubscriptions[[#This Row],[churned]] = "Yes",1,0)</f>
        <v>0</v>
      </c>
      <c r="S382">
        <f t="shared" si="25"/>
        <v>0</v>
      </c>
      <c r="T382">
        <f t="shared" si="26"/>
        <v>1</v>
      </c>
      <c r="U382">
        <f t="shared" si="27"/>
        <v>1</v>
      </c>
      <c r="V382">
        <f t="shared" si="28"/>
        <v>2</v>
      </c>
      <c r="W382" t="str">
        <f t="shared" si="29"/>
        <v>High Risk</v>
      </c>
    </row>
    <row r="383" spans="1:23">
      <c r="A383" t="s">
        <v>624</v>
      </c>
      <c r="B383" t="s">
        <v>33</v>
      </c>
      <c r="C383" t="s">
        <v>19</v>
      </c>
      <c r="D383" t="s">
        <v>20</v>
      </c>
      <c r="E383" t="s">
        <v>41</v>
      </c>
      <c r="F383">
        <v>24</v>
      </c>
      <c r="G383">
        <v>129</v>
      </c>
      <c r="H383" t="s">
        <v>22</v>
      </c>
      <c r="I383" t="s">
        <v>23</v>
      </c>
      <c r="J383" s="1">
        <v>44940</v>
      </c>
      <c r="K383" t="s">
        <v>24</v>
      </c>
      <c r="L383" t="s">
        <v>625</v>
      </c>
      <c r="M383" t="s">
        <v>26</v>
      </c>
      <c r="N383">
        <v>11</v>
      </c>
      <c r="O383">
        <v>1</v>
      </c>
      <c r="P383">
        <v>16</v>
      </c>
      <c r="Q383" t="s">
        <v>27</v>
      </c>
      <c r="R383">
        <f>IF(tblSubscriptions[[#This Row],[churned]] = "Yes",1,0)</f>
        <v>1</v>
      </c>
      <c r="S383">
        <f t="shared" si="25"/>
        <v>1</v>
      </c>
      <c r="T383">
        <f t="shared" si="26"/>
        <v>1</v>
      </c>
      <c r="U383">
        <f t="shared" si="27"/>
        <v>1</v>
      </c>
      <c r="V383">
        <f t="shared" si="28"/>
        <v>3</v>
      </c>
      <c r="W383" t="str">
        <f t="shared" si="29"/>
        <v>High Risk</v>
      </c>
    </row>
    <row r="384" spans="1:23">
      <c r="A384" t="s">
        <v>626</v>
      </c>
      <c r="B384" t="s">
        <v>18</v>
      </c>
      <c r="C384" t="s">
        <v>29</v>
      </c>
      <c r="D384" t="s">
        <v>46</v>
      </c>
      <c r="E384" t="s">
        <v>47</v>
      </c>
      <c r="F384">
        <v>4</v>
      </c>
      <c r="G384">
        <v>97</v>
      </c>
      <c r="H384" t="s">
        <v>48</v>
      </c>
      <c r="I384" t="s">
        <v>23</v>
      </c>
      <c r="J384" s="1">
        <v>45715</v>
      </c>
      <c r="K384" t="s">
        <v>24</v>
      </c>
      <c r="L384" t="s">
        <v>325</v>
      </c>
      <c r="M384" t="s">
        <v>58</v>
      </c>
      <c r="N384">
        <v>0</v>
      </c>
      <c r="O384">
        <v>4</v>
      </c>
      <c r="P384">
        <v>29</v>
      </c>
      <c r="Q384" t="s">
        <v>27</v>
      </c>
      <c r="R384">
        <f>IF(tblSubscriptions[[#This Row],[churned]] = "Yes",1,0)</f>
        <v>1</v>
      </c>
      <c r="S384">
        <f t="shared" si="25"/>
        <v>1</v>
      </c>
      <c r="T384">
        <f t="shared" si="26"/>
        <v>1</v>
      </c>
      <c r="U384">
        <f t="shared" si="27"/>
        <v>0</v>
      </c>
      <c r="V384">
        <f t="shared" si="28"/>
        <v>2</v>
      </c>
      <c r="W384" t="str">
        <f t="shared" si="29"/>
        <v>High Risk</v>
      </c>
    </row>
    <row r="385" spans="1:23">
      <c r="A385" t="s">
        <v>627</v>
      </c>
      <c r="B385" t="s">
        <v>87</v>
      </c>
      <c r="C385" t="s">
        <v>19</v>
      </c>
      <c r="D385" t="s">
        <v>97</v>
      </c>
      <c r="E385" t="s">
        <v>50</v>
      </c>
      <c r="F385">
        <v>141</v>
      </c>
      <c r="G385">
        <v>10978</v>
      </c>
      <c r="H385" t="s">
        <v>70</v>
      </c>
      <c r="I385" t="s">
        <v>42</v>
      </c>
      <c r="J385" s="1">
        <v>44828</v>
      </c>
      <c r="K385" t="s">
        <v>27</v>
      </c>
      <c r="L385" t="s">
        <v>31</v>
      </c>
      <c r="M385" t="s">
        <v>31</v>
      </c>
      <c r="N385">
        <v>6</v>
      </c>
      <c r="O385">
        <v>2</v>
      </c>
      <c r="P385">
        <v>49</v>
      </c>
      <c r="Q385" t="s">
        <v>27</v>
      </c>
      <c r="R385">
        <f>IF(tblSubscriptions[[#This Row],[churned]] = "Yes",1,0)</f>
        <v>0</v>
      </c>
      <c r="S385">
        <f t="shared" si="25"/>
        <v>1</v>
      </c>
      <c r="T385">
        <f t="shared" si="26"/>
        <v>1</v>
      </c>
      <c r="U385">
        <f t="shared" si="27"/>
        <v>0</v>
      </c>
      <c r="V385">
        <f t="shared" si="28"/>
        <v>2</v>
      </c>
      <c r="W385" t="str">
        <f t="shared" si="29"/>
        <v>High Risk</v>
      </c>
    </row>
    <row r="386" spans="1:23">
      <c r="A386" t="s">
        <v>628</v>
      </c>
      <c r="B386" t="s">
        <v>33</v>
      </c>
      <c r="C386" t="s">
        <v>29</v>
      </c>
      <c r="D386" t="s">
        <v>20</v>
      </c>
      <c r="E386" t="s">
        <v>50</v>
      </c>
      <c r="F386">
        <v>142</v>
      </c>
      <c r="G386">
        <v>546</v>
      </c>
      <c r="H386" t="s">
        <v>70</v>
      </c>
      <c r="I386" t="s">
        <v>23</v>
      </c>
      <c r="J386" s="1">
        <v>45171</v>
      </c>
      <c r="K386" t="s">
        <v>24</v>
      </c>
      <c r="L386" t="s">
        <v>629</v>
      </c>
      <c r="M386" t="s">
        <v>75</v>
      </c>
      <c r="N386">
        <v>13</v>
      </c>
      <c r="O386">
        <v>2</v>
      </c>
      <c r="P386">
        <v>31</v>
      </c>
      <c r="Q386" t="s">
        <v>27</v>
      </c>
      <c r="R386">
        <f>IF(tblSubscriptions[[#This Row],[churned]] = "Yes",1,0)</f>
        <v>1</v>
      </c>
      <c r="S386">
        <f t="shared" ref="S386:S449" si="30">IF(P386&lt;50,1,0)</f>
        <v>1</v>
      </c>
      <c r="T386">
        <f t="shared" ref="T386:T449" si="31">IF(O386&lt;=6,1,0)</f>
        <v>1</v>
      </c>
      <c r="U386">
        <f t="shared" ref="U386:U449" si="32">IF(N386&gt;=11,1,0)</f>
        <v>1</v>
      </c>
      <c r="V386">
        <f t="shared" ref="V386:V449" si="33">S386+T386+U386</f>
        <v>3</v>
      </c>
      <c r="W386" t="str">
        <f t="shared" ref="W386:W449" si="34">IF(V386&gt;=2,"High Risk",IF(V386=1,"Medium Risk","Low Risk"))</f>
        <v>High Risk</v>
      </c>
    </row>
    <row r="387" spans="1:23">
      <c r="A387" t="s">
        <v>630</v>
      </c>
      <c r="B387" t="s">
        <v>18</v>
      </c>
      <c r="C387" t="s">
        <v>19</v>
      </c>
      <c r="D387" t="s">
        <v>40</v>
      </c>
      <c r="E387" t="s">
        <v>47</v>
      </c>
      <c r="F387">
        <v>4</v>
      </c>
      <c r="G387">
        <v>115</v>
      </c>
      <c r="H387" t="s">
        <v>48</v>
      </c>
      <c r="I387" t="s">
        <v>84</v>
      </c>
      <c r="J387" s="1">
        <v>45889</v>
      </c>
      <c r="K387" t="s">
        <v>24</v>
      </c>
      <c r="L387" t="s">
        <v>631</v>
      </c>
      <c r="M387" t="s">
        <v>62</v>
      </c>
      <c r="N387">
        <v>7</v>
      </c>
      <c r="O387">
        <v>1</v>
      </c>
      <c r="P387">
        <v>24</v>
      </c>
      <c r="Q387" t="s">
        <v>27</v>
      </c>
      <c r="R387">
        <f>IF(tblSubscriptions[[#This Row],[churned]] = "Yes",1,0)</f>
        <v>1</v>
      </c>
      <c r="S387">
        <f t="shared" si="30"/>
        <v>1</v>
      </c>
      <c r="T387">
        <f t="shared" si="31"/>
        <v>1</v>
      </c>
      <c r="U387">
        <f t="shared" si="32"/>
        <v>0</v>
      </c>
      <c r="V387">
        <f t="shared" si="33"/>
        <v>2</v>
      </c>
      <c r="W387" t="str">
        <f t="shared" si="34"/>
        <v>High Risk</v>
      </c>
    </row>
    <row r="388" spans="1:23">
      <c r="A388" t="s">
        <v>632</v>
      </c>
      <c r="B388" t="s">
        <v>33</v>
      </c>
      <c r="C388" t="s">
        <v>19</v>
      </c>
      <c r="D388" t="s">
        <v>83</v>
      </c>
      <c r="E388" t="s">
        <v>47</v>
      </c>
      <c r="F388">
        <v>3</v>
      </c>
      <c r="G388">
        <v>38</v>
      </c>
      <c r="H388" t="s">
        <v>48</v>
      </c>
      <c r="I388" t="s">
        <v>23</v>
      </c>
      <c r="J388" s="1">
        <v>45137</v>
      </c>
      <c r="K388" t="s">
        <v>24</v>
      </c>
      <c r="L388" t="s">
        <v>633</v>
      </c>
      <c r="M388" t="s">
        <v>26</v>
      </c>
      <c r="N388">
        <v>11</v>
      </c>
      <c r="O388">
        <v>1</v>
      </c>
      <c r="P388">
        <v>46</v>
      </c>
      <c r="Q388" t="s">
        <v>27</v>
      </c>
      <c r="R388">
        <f>IF(tblSubscriptions[[#This Row],[churned]] = "Yes",1,0)</f>
        <v>1</v>
      </c>
      <c r="S388">
        <f t="shared" si="30"/>
        <v>1</v>
      </c>
      <c r="T388">
        <f t="shared" si="31"/>
        <v>1</v>
      </c>
      <c r="U388">
        <f t="shared" si="32"/>
        <v>1</v>
      </c>
      <c r="V388">
        <f t="shared" si="33"/>
        <v>3</v>
      </c>
      <c r="W388" t="str">
        <f t="shared" si="34"/>
        <v>High Risk</v>
      </c>
    </row>
    <row r="389" spans="1:23">
      <c r="A389" t="s">
        <v>634</v>
      </c>
      <c r="B389" t="s">
        <v>18</v>
      </c>
      <c r="C389" t="s">
        <v>29</v>
      </c>
      <c r="D389" t="s">
        <v>97</v>
      </c>
      <c r="E389" t="s">
        <v>41</v>
      </c>
      <c r="F389">
        <v>31</v>
      </c>
      <c r="G389">
        <v>369</v>
      </c>
      <c r="H389" t="s">
        <v>36</v>
      </c>
      <c r="I389" t="s">
        <v>64</v>
      </c>
      <c r="J389" s="1">
        <v>45071</v>
      </c>
      <c r="K389" t="s">
        <v>27</v>
      </c>
      <c r="L389" t="s">
        <v>31</v>
      </c>
      <c r="M389" t="s">
        <v>31</v>
      </c>
      <c r="N389">
        <v>11</v>
      </c>
      <c r="O389">
        <v>4</v>
      </c>
      <c r="P389">
        <v>66</v>
      </c>
      <c r="Q389" t="s">
        <v>27</v>
      </c>
      <c r="R389">
        <f>IF(tblSubscriptions[[#This Row],[churned]] = "Yes",1,0)</f>
        <v>0</v>
      </c>
      <c r="S389">
        <f t="shared" si="30"/>
        <v>0</v>
      </c>
      <c r="T389">
        <f t="shared" si="31"/>
        <v>1</v>
      </c>
      <c r="U389">
        <f t="shared" si="32"/>
        <v>1</v>
      </c>
      <c r="V389">
        <f t="shared" si="33"/>
        <v>2</v>
      </c>
      <c r="W389" t="str">
        <f t="shared" si="34"/>
        <v>High Risk</v>
      </c>
    </row>
    <row r="390" spans="1:23">
      <c r="A390" t="s">
        <v>635</v>
      </c>
      <c r="B390" t="s">
        <v>18</v>
      </c>
      <c r="C390" t="s">
        <v>29</v>
      </c>
      <c r="D390" t="s">
        <v>56</v>
      </c>
      <c r="E390" t="s">
        <v>50</v>
      </c>
      <c r="F390">
        <v>94</v>
      </c>
      <c r="G390">
        <v>1004</v>
      </c>
      <c r="H390" t="s">
        <v>48</v>
      </c>
      <c r="I390" t="s">
        <v>84</v>
      </c>
      <c r="J390" s="1">
        <v>45470</v>
      </c>
      <c r="K390" t="s">
        <v>27</v>
      </c>
      <c r="L390" t="s">
        <v>31</v>
      </c>
      <c r="M390" t="s">
        <v>31</v>
      </c>
      <c r="N390">
        <v>7</v>
      </c>
      <c r="O390">
        <v>7</v>
      </c>
      <c r="P390">
        <v>62</v>
      </c>
      <c r="Q390" t="s">
        <v>27</v>
      </c>
      <c r="R390">
        <f>IF(tblSubscriptions[[#This Row],[churned]] = "Yes",1,0)</f>
        <v>0</v>
      </c>
      <c r="S390">
        <f t="shared" si="30"/>
        <v>0</v>
      </c>
      <c r="T390">
        <f t="shared" si="31"/>
        <v>0</v>
      </c>
      <c r="U390">
        <f t="shared" si="32"/>
        <v>0</v>
      </c>
      <c r="V390">
        <f t="shared" si="33"/>
        <v>0</v>
      </c>
      <c r="W390" t="str">
        <f t="shared" si="34"/>
        <v>Low Risk</v>
      </c>
    </row>
    <row r="391" spans="1:23">
      <c r="A391" t="s">
        <v>636</v>
      </c>
      <c r="B391" t="s">
        <v>18</v>
      </c>
      <c r="C391" t="s">
        <v>19</v>
      </c>
      <c r="D391" t="s">
        <v>44</v>
      </c>
      <c r="E391" t="s">
        <v>50</v>
      </c>
      <c r="F391">
        <v>38</v>
      </c>
      <c r="G391">
        <v>517</v>
      </c>
      <c r="H391" t="s">
        <v>70</v>
      </c>
      <c r="I391" t="s">
        <v>23</v>
      </c>
      <c r="J391" s="1">
        <v>45059</v>
      </c>
      <c r="K391" t="s">
        <v>24</v>
      </c>
      <c r="L391" t="s">
        <v>637</v>
      </c>
      <c r="M391" t="s">
        <v>52</v>
      </c>
      <c r="N391">
        <v>4</v>
      </c>
      <c r="O391">
        <v>4</v>
      </c>
      <c r="P391">
        <v>44</v>
      </c>
      <c r="Q391" t="s">
        <v>27</v>
      </c>
      <c r="R391">
        <f>IF(tblSubscriptions[[#This Row],[churned]] = "Yes",1,0)</f>
        <v>1</v>
      </c>
      <c r="S391">
        <f t="shared" si="30"/>
        <v>1</v>
      </c>
      <c r="T391">
        <f t="shared" si="31"/>
        <v>1</v>
      </c>
      <c r="U391">
        <f t="shared" si="32"/>
        <v>0</v>
      </c>
      <c r="V391">
        <f t="shared" si="33"/>
        <v>2</v>
      </c>
      <c r="W391" t="str">
        <f t="shared" si="34"/>
        <v>High Risk</v>
      </c>
    </row>
    <row r="392" spans="1:23">
      <c r="A392" t="s">
        <v>638</v>
      </c>
      <c r="B392" t="s">
        <v>33</v>
      </c>
      <c r="C392" t="s">
        <v>29</v>
      </c>
      <c r="D392" t="s">
        <v>44</v>
      </c>
      <c r="E392" t="s">
        <v>47</v>
      </c>
      <c r="F392">
        <v>8</v>
      </c>
      <c r="G392">
        <v>51</v>
      </c>
      <c r="H392" t="s">
        <v>70</v>
      </c>
      <c r="I392" t="s">
        <v>42</v>
      </c>
      <c r="J392" s="1">
        <v>44865</v>
      </c>
      <c r="K392" t="s">
        <v>24</v>
      </c>
      <c r="L392" t="s">
        <v>639</v>
      </c>
      <c r="M392" t="s">
        <v>75</v>
      </c>
      <c r="N392">
        <v>2</v>
      </c>
      <c r="O392">
        <v>6</v>
      </c>
      <c r="P392">
        <v>17</v>
      </c>
      <c r="Q392" t="s">
        <v>27</v>
      </c>
      <c r="R392">
        <f>IF(tblSubscriptions[[#This Row],[churned]] = "Yes",1,0)</f>
        <v>1</v>
      </c>
      <c r="S392">
        <f t="shared" si="30"/>
        <v>1</v>
      </c>
      <c r="T392">
        <f t="shared" si="31"/>
        <v>1</v>
      </c>
      <c r="U392">
        <f t="shared" si="32"/>
        <v>0</v>
      </c>
      <c r="V392">
        <f t="shared" si="33"/>
        <v>2</v>
      </c>
      <c r="W392" t="str">
        <f t="shared" si="34"/>
        <v>High Risk</v>
      </c>
    </row>
    <row r="393" spans="1:23">
      <c r="A393" t="s">
        <v>640</v>
      </c>
      <c r="B393" t="s">
        <v>33</v>
      </c>
      <c r="C393" t="s">
        <v>19</v>
      </c>
      <c r="D393" t="s">
        <v>56</v>
      </c>
      <c r="E393" t="s">
        <v>41</v>
      </c>
      <c r="F393">
        <v>19</v>
      </c>
      <c r="G393">
        <v>107</v>
      </c>
      <c r="H393" t="s">
        <v>70</v>
      </c>
      <c r="I393" t="s">
        <v>23</v>
      </c>
      <c r="J393" s="1">
        <v>45361</v>
      </c>
      <c r="K393" t="s">
        <v>24</v>
      </c>
      <c r="L393" t="s">
        <v>641</v>
      </c>
      <c r="M393" t="s">
        <v>102</v>
      </c>
      <c r="N393">
        <v>9</v>
      </c>
      <c r="O393">
        <v>5</v>
      </c>
      <c r="P393">
        <v>18</v>
      </c>
      <c r="Q393" t="s">
        <v>27</v>
      </c>
      <c r="R393">
        <f>IF(tblSubscriptions[[#This Row],[churned]] = "Yes",1,0)</f>
        <v>1</v>
      </c>
      <c r="S393">
        <f t="shared" si="30"/>
        <v>1</v>
      </c>
      <c r="T393">
        <f t="shared" si="31"/>
        <v>1</v>
      </c>
      <c r="U393">
        <f t="shared" si="32"/>
        <v>0</v>
      </c>
      <c r="V393">
        <f t="shared" si="33"/>
        <v>2</v>
      </c>
      <c r="W393" t="str">
        <f t="shared" si="34"/>
        <v>High Risk</v>
      </c>
    </row>
    <row r="394" spans="1:23">
      <c r="A394" t="s">
        <v>642</v>
      </c>
      <c r="B394" t="s">
        <v>18</v>
      </c>
      <c r="C394" t="s">
        <v>19</v>
      </c>
      <c r="D394" t="s">
        <v>56</v>
      </c>
      <c r="E394" t="s">
        <v>21</v>
      </c>
      <c r="F394">
        <v>39</v>
      </c>
      <c r="G394">
        <v>529</v>
      </c>
      <c r="H394" t="s">
        <v>30</v>
      </c>
      <c r="I394" t="s">
        <v>23</v>
      </c>
      <c r="J394" s="1">
        <v>45701</v>
      </c>
      <c r="K394" t="s">
        <v>27</v>
      </c>
      <c r="L394" t="s">
        <v>31</v>
      </c>
      <c r="M394" t="s">
        <v>31</v>
      </c>
      <c r="N394">
        <v>1</v>
      </c>
      <c r="O394">
        <v>10</v>
      </c>
      <c r="P394">
        <v>49</v>
      </c>
      <c r="Q394" t="s">
        <v>27</v>
      </c>
      <c r="R394">
        <f>IF(tblSubscriptions[[#This Row],[churned]] = "Yes",1,0)</f>
        <v>0</v>
      </c>
      <c r="S394">
        <f t="shared" si="30"/>
        <v>1</v>
      </c>
      <c r="T394">
        <f t="shared" si="31"/>
        <v>0</v>
      </c>
      <c r="U394">
        <f t="shared" si="32"/>
        <v>0</v>
      </c>
      <c r="V394">
        <f t="shared" si="33"/>
        <v>1</v>
      </c>
      <c r="W394" t="str">
        <f t="shared" si="34"/>
        <v>Medium Risk</v>
      </c>
    </row>
    <row r="395" spans="1:23">
      <c r="A395" t="s">
        <v>643</v>
      </c>
      <c r="B395" t="s">
        <v>18</v>
      </c>
      <c r="C395" t="s">
        <v>29</v>
      </c>
      <c r="D395" t="s">
        <v>40</v>
      </c>
      <c r="E395" t="s">
        <v>41</v>
      </c>
      <c r="F395">
        <v>19</v>
      </c>
      <c r="G395">
        <v>248</v>
      </c>
      <c r="H395" t="s">
        <v>22</v>
      </c>
      <c r="I395" t="s">
        <v>23</v>
      </c>
      <c r="J395" s="1">
        <v>45379</v>
      </c>
      <c r="K395" t="s">
        <v>27</v>
      </c>
      <c r="L395" t="s">
        <v>31</v>
      </c>
      <c r="M395" t="s">
        <v>31</v>
      </c>
      <c r="N395">
        <v>5</v>
      </c>
      <c r="O395">
        <v>6</v>
      </c>
      <c r="P395">
        <v>23</v>
      </c>
      <c r="Q395" t="s">
        <v>27</v>
      </c>
      <c r="R395">
        <f>IF(tblSubscriptions[[#This Row],[churned]] = "Yes",1,0)</f>
        <v>0</v>
      </c>
      <c r="S395">
        <f t="shared" si="30"/>
        <v>1</v>
      </c>
      <c r="T395">
        <f t="shared" si="31"/>
        <v>1</v>
      </c>
      <c r="U395">
        <f t="shared" si="32"/>
        <v>0</v>
      </c>
      <c r="V395">
        <f t="shared" si="33"/>
        <v>2</v>
      </c>
      <c r="W395" t="str">
        <f t="shared" si="34"/>
        <v>High Risk</v>
      </c>
    </row>
    <row r="396" spans="1:23">
      <c r="A396" t="s">
        <v>644</v>
      </c>
      <c r="B396" t="s">
        <v>39</v>
      </c>
      <c r="C396" t="s">
        <v>19</v>
      </c>
      <c r="D396" t="s">
        <v>34</v>
      </c>
      <c r="E396" t="s">
        <v>47</v>
      </c>
      <c r="F396">
        <v>4</v>
      </c>
      <c r="G396">
        <v>289</v>
      </c>
      <c r="H396" t="s">
        <v>22</v>
      </c>
      <c r="I396" t="s">
        <v>42</v>
      </c>
      <c r="J396" s="1">
        <v>45363</v>
      </c>
      <c r="K396" t="s">
        <v>27</v>
      </c>
      <c r="L396" t="s">
        <v>31</v>
      </c>
      <c r="M396" t="s">
        <v>31</v>
      </c>
      <c r="N396">
        <v>0</v>
      </c>
      <c r="O396">
        <v>4</v>
      </c>
      <c r="P396">
        <v>39</v>
      </c>
      <c r="Q396" t="s">
        <v>27</v>
      </c>
      <c r="R396">
        <f>IF(tblSubscriptions[[#This Row],[churned]] = "Yes",1,0)</f>
        <v>0</v>
      </c>
      <c r="S396">
        <f t="shared" si="30"/>
        <v>1</v>
      </c>
      <c r="T396">
        <f t="shared" si="31"/>
        <v>1</v>
      </c>
      <c r="U396">
        <f t="shared" si="32"/>
        <v>0</v>
      </c>
      <c r="V396">
        <f t="shared" si="33"/>
        <v>2</v>
      </c>
      <c r="W396" t="str">
        <f t="shared" si="34"/>
        <v>High Risk</v>
      </c>
    </row>
    <row r="397" spans="1:23">
      <c r="A397" t="s">
        <v>645</v>
      </c>
      <c r="B397" t="s">
        <v>18</v>
      </c>
      <c r="C397" t="s">
        <v>19</v>
      </c>
      <c r="D397" t="s">
        <v>73</v>
      </c>
      <c r="E397" t="s">
        <v>47</v>
      </c>
      <c r="F397">
        <v>7</v>
      </c>
      <c r="G397">
        <v>150</v>
      </c>
      <c r="H397" t="s">
        <v>48</v>
      </c>
      <c r="I397" t="s">
        <v>42</v>
      </c>
      <c r="J397" s="1">
        <v>45217</v>
      </c>
      <c r="K397" t="s">
        <v>27</v>
      </c>
      <c r="L397" t="s">
        <v>31</v>
      </c>
      <c r="M397" t="s">
        <v>31</v>
      </c>
      <c r="N397">
        <v>3</v>
      </c>
      <c r="O397">
        <v>7</v>
      </c>
      <c r="P397">
        <v>73</v>
      </c>
      <c r="Q397" t="s">
        <v>27</v>
      </c>
      <c r="R397">
        <f>IF(tblSubscriptions[[#This Row],[churned]] = "Yes",1,0)</f>
        <v>0</v>
      </c>
      <c r="S397">
        <f t="shared" si="30"/>
        <v>0</v>
      </c>
      <c r="T397">
        <f t="shared" si="31"/>
        <v>0</v>
      </c>
      <c r="U397">
        <f t="shared" si="32"/>
        <v>0</v>
      </c>
      <c r="V397">
        <f t="shared" si="33"/>
        <v>0</v>
      </c>
      <c r="W397" t="str">
        <f t="shared" si="34"/>
        <v>Low Risk</v>
      </c>
    </row>
    <row r="398" spans="1:23">
      <c r="A398" t="s">
        <v>646</v>
      </c>
      <c r="B398" t="s">
        <v>33</v>
      </c>
      <c r="C398" t="s">
        <v>29</v>
      </c>
      <c r="D398" t="s">
        <v>40</v>
      </c>
      <c r="E398" t="s">
        <v>41</v>
      </c>
      <c r="F398">
        <v>5</v>
      </c>
      <c r="G398">
        <v>39</v>
      </c>
      <c r="H398" t="s">
        <v>22</v>
      </c>
      <c r="I398" t="s">
        <v>42</v>
      </c>
      <c r="J398" s="1">
        <v>45518</v>
      </c>
      <c r="K398" t="s">
        <v>24</v>
      </c>
      <c r="L398" t="s">
        <v>398</v>
      </c>
      <c r="M398" t="s">
        <v>66</v>
      </c>
      <c r="N398">
        <v>2</v>
      </c>
      <c r="O398">
        <v>1</v>
      </c>
      <c r="P398">
        <v>39</v>
      </c>
      <c r="Q398" t="s">
        <v>27</v>
      </c>
      <c r="R398">
        <f>IF(tblSubscriptions[[#This Row],[churned]] = "Yes",1,0)</f>
        <v>1</v>
      </c>
      <c r="S398">
        <f t="shared" si="30"/>
        <v>1</v>
      </c>
      <c r="T398">
        <f t="shared" si="31"/>
        <v>1</v>
      </c>
      <c r="U398">
        <f t="shared" si="32"/>
        <v>0</v>
      </c>
      <c r="V398">
        <f t="shared" si="33"/>
        <v>2</v>
      </c>
      <c r="W398" t="str">
        <f t="shared" si="34"/>
        <v>High Risk</v>
      </c>
    </row>
    <row r="399" spans="1:23">
      <c r="A399" t="s">
        <v>647</v>
      </c>
      <c r="B399" t="s">
        <v>39</v>
      </c>
      <c r="C399" t="s">
        <v>29</v>
      </c>
      <c r="D399" t="s">
        <v>34</v>
      </c>
      <c r="E399" t="s">
        <v>35</v>
      </c>
      <c r="F399">
        <v>252</v>
      </c>
      <c r="G399">
        <v>6538</v>
      </c>
      <c r="H399" t="s">
        <v>22</v>
      </c>
      <c r="I399" t="s">
        <v>23</v>
      </c>
      <c r="J399" s="1">
        <v>45044</v>
      </c>
      <c r="K399" t="s">
        <v>24</v>
      </c>
      <c r="L399" t="s">
        <v>648</v>
      </c>
      <c r="M399" t="s">
        <v>26</v>
      </c>
      <c r="N399">
        <v>9</v>
      </c>
      <c r="O399">
        <v>6</v>
      </c>
      <c r="P399">
        <v>44</v>
      </c>
      <c r="Q399" t="s">
        <v>27</v>
      </c>
      <c r="R399">
        <f>IF(tblSubscriptions[[#This Row],[churned]] = "Yes",1,0)</f>
        <v>1</v>
      </c>
      <c r="S399">
        <f t="shared" si="30"/>
        <v>1</v>
      </c>
      <c r="T399">
        <f t="shared" si="31"/>
        <v>1</v>
      </c>
      <c r="U399">
        <f t="shared" si="32"/>
        <v>0</v>
      </c>
      <c r="V399">
        <f t="shared" si="33"/>
        <v>2</v>
      </c>
      <c r="W399" t="str">
        <f t="shared" si="34"/>
        <v>High Risk</v>
      </c>
    </row>
    <row r="400" spans="1:23">
      <c r="A400" t="s">
        <v>649</v>
      </c>
      <c r="B400" t="s">
        <v>39</v>
      </c>
      <c r="C400" t="s">
        <v>29</v>
      </c>
      <c r="D400" t="s">
        <v>40</v>
      </c>
      <c r="E400" t="s">
        <v>50</v>
      </c>
      <c r="F400">
        <v>86</v>
      </c>
      <c r="G400">
        <v>2326</v>
      </c>
      <c r="H400" t="s">
        <v>70</v>
      </c>
      <c r="I400" t="s">
        <v>23</v>
      </c>
      <c r="J400" s="1">
        <v>45209</v>
      </c>
      <c r="K400" t="s">
        <v>24</v>
      </c>
      <c r="L400" t="s">
        <v>650</v>
      </c>
      <c r="M400" t="s">
        <v>58</v>
      </c>
      <c r="N400">
        <v>0</v>
      </c>
      <c r="O400">
        <v>2</v>
      </c>
      <c r="P400">
        <v>11</v>
      </c>
      <c r="Q400" t="s">
        <v>27</v>
      </c>
      <c r="R400">
        <f>IF(tblSubscriptions[[#This Row],[churned]] = "Yes",1,0)</f>
        <v>1</v>
      </c>
      <c r="S400">
        <f t="shared" si="30"/>
        <v>1</v>
      </c>
      <c r="T400">
        <f t="shared" si="31"/>
        <v>1</v>
      </c>
      <c r="U400">
        <f t="shared" si="32"/>
        <v>0</v>
      </c>
      <c r="V400">
        <f t="shared" si="33"/>
        <v>2</v>
      </c>
      <c r="W400" t="str">
        <f t="shared" si="34"/>
        <v>High Risk</v>
      </c>
    </row>
    <row r="401" spans="1:23">
      <c r="A401" t="s">
        <v>651</v>
      </c>
      <c r="B401" t="s">
        <v>33</v>
      </c>
      <c r="C401" t="s">
        <v>29</v>
      </c>
      <c r="D401" t="s">
        <v>73</v>
      </c>
      <c r="E401" t="s">
        <v>47</v>
      </c>
      <c r="F401">
        <v>5</v>
      </c>
      <c r="G401">
        <v>39</v>
      </c>
      <c r="H401" t="s">
        <v>36</v>
      </c>
      <c r="I401" t="s">
        <v>23</v>
      </c>
      <c r="J401" s="1">
        <v>44771</v>
      </c>
      <c r="K401" t="s">
        <v>24</v>
      </c>
      <c r="L401" t="s">
        <v>350</v>
      </c>
      <c r="M401" t="s">
        <v>62</v>
      </c>
      <c r="N401">
        <v>3</v>
      </c>
      <c r="O401">
        <v>1</v>
      </c>
      <c r="P401">
        <v>34</v>
      </c>
      <c r="Q401" t="s">
        <v>27</v>
      </c>
      <c r="R401">
        <f>IF(tblSubscriptions[[#This Row],[churned]] = "Yes",1,0)</f>
        <v>1</v>
      </c>
      <c r="S401">
        <f t="shared" si="30"/>
        <v>1</v>
      </c>
      <c r="T401">
        <f t="shared" si="31"/>
        <v>1</v>
      </c>
      <c r="U401">
        <f t="shared" si="32"/>
        <v>0</v>
      </c>
      <c r="V401">
        <f t="shared" si="33"/>
        <v>2</v>
      </c>
      <c r="W401" t="str">
        <f t="shared" si="34"/>
        <v>High Risk</v>
      </c>
    </row>
    <row r="402" spans="1:23">
      <c r="A402" t="s">
        <v>652</v>
      </c>
      <c r="B402" t="s">
        <v>39</v>
      </c>
      <c r="C402" t="s">
        <v>29</v>
      </c>
      <c r="D402" t="s">
        <v>60</v>
      </c>
      <c r="E402" t="s">
        <v>47</v>
      </c>
      <c r="F402">
        <v>7</v>
      </c>
      <c r="G402">
        <v>321</v>
      </c>
      <c r="H402" t="s">
        <v>22</v>
      </c>
      <c r="I402" t="s">
        <v>23</v>
      </c>
      <c r="J402" s="1">
        <v>45602</v>
      </c>
      <c r="K402" t="s">
        <v>27</v>
      </c>
      <c r="L402" t="s">
        <v>31</v>
      </c>
      <c r="M402" t="s">
        <v>31</v>
      </c>
      <c r="N402">
        <v>9</v>
      </c>
      <c r="O402">
        <v>9</v>
      </c>
      <c r="P402">
        <v>30</v>
      </c>
      <c r="Q402" t="s">
        <v>27</v>
      </c>
      <c r="R402">
        <f>IF(tblSubscriptions[[#This Row],[churned]] = "Yes",1,0)</f>
        <v>0</v>
      </c>
      <c r="S402">
        <f t="shared" si="30"/>
        <v>1</v>
      </c>
      <c r="T402">
        <f t="shared" si="31"/>
        <v>0</v>
      </c>
      <c r="U402">
        <f t="shared" si="32"/>
        <v>0</v>
      </c>
      <c r="V402">
        <f t="shared" si="33"/>
        <v>1</v>
      </c>
      <c r="W402" t="str">
        <f t="shared" si="34"/>
        <v>Medium Risk</v>
      </c>
    </row>
    <row r="403" spans="1:23">
      <c r="A403" t="s">
        <v>653</v>
      </c>
      <c r="B403" t="s">
        <v>18</v>
      </c>
      <c r="C403" t="s">
        <v>29</v>
      </c>
      <c r="D403" t="s">
        <v>56</v>
      </c>
      <c r="E403" t="s">
        <v>21</v>
      </c>
      <c r="F403">
        <v>34</v>
      </c>
      <c r="G403">
        <v>400</v>
      </c>
      <c r="H403" t="s">
        <v>48</v>
      </c>
      <c r="I403" t="s">
        <v>42</v>
      </c>
      <c r="J403" s="1">
        <v>44655</v>
      </c>
      <c r="K403" t="s">
        <v>24</v>
      </c>
      <c r="L403" t="s">
        <v>654</v>
      </c>
      <c r="M403" t="s">
        <v>66</v>
      </c>
      <c r="N403">
        <v>14</v>
      </c>
      <c r="O403">
        <v>1</v>
      </c>
      <c r="P403">
        <v>34</v>
      </c>
      <c r="Q403" t="s">
        <v>27</v>
      </c>
      <c r="R403">
        <f>IF(tblSubscriptions[[#This Row],[churned]] = "Yes",1,0)</f>
        <v>1</v>
      </c>
      <c r="S403">
        <f t="shared" si="30"/>
        <v>1</v>
      </c>
      <c r="T403">
        <f t="shared" si="31"/>
        <v>1</v>
      </c>
      <c r="U403">
        <f t="shared" si="32"/>
        <v>1</v>
      </c>
      <c r="V403">
        <f t="shared" si="33"/>
        <v>3</v>
      </c>
      <c r="W403" t="str">
        <f t="shared" si="34"/>
        <v>High Risk</v>
      </c>
    </row>
    <row r="404" spans="1:23">
      <c r="A404" t="s">
        <v>655</v>
      </c>
      <c r="B404" t="s">
        <v>39</v>
      </c>
      <c r="C404" t="s">
        <v>19</v>
      </c>
      <c r="D404" t="s">
        <v>97</v>
      </c>
      <c r="E404" t="s">
        <v>47</v>
      </c>
      <c r="F404">
        <v>8</v>
      </c>
      <c r="G404">
        <v>408</v>
      </c>
      <c r="H404" t="s">
        <v>22</v>
      </c>
      <c r="I404" t="s">
        <v>23</v>
      </c>
      <c r="J404" s="1">
        <v>44948</v>
      </c>
      <c r="K404" t="s">
        <v>24</v>
      </c>
      <c r="L404" t="s">
        <v>498</v>
      </c>
      <c r="M404" t="s">
        <v>52</v>
      </c>
      <c r="N404">
        <v>13</v>
      </c>
      <c r="O404">
        <v>5</v>
      </c>
      <c r="P404">
        <v>25</v>
      </c>
      <c r="Q404" t="s">
        <v>27</v>
      </c>
      <c r="R404">
        <f>IF(tblSubscriptions[[#This Row],[churned]] = "Yes",1,0)</f>
        <v>1</v>
      </c>
      <c r="S404">
        <f t="shared" si="30"/>
        <v>1</v>
      </c>
      <c r="T404">
        <f t="shared" si="31"/>
        <v>1</v>
      </c>
      <c r="U404">
        <f t="shared" si="32"/>
        <v>1</v>
      </c>
      <c r="V404">
        <f t="shared" si="33"/>
        <v>3</v>
      </c>
      <c r="W404" t="str">
        <f t="shared" si="34"/>
        <v>High Risk</v>
      </c>
    </row>
    <row r="405" spans="1:23">
      <c r="A405" t="s">
        <v>656</v>
      </c>
      <c r="B405" t="s">
        <v>39</v>
      </c>
      <c r="C405" t="s">
        <v>19</v>
      </c>
      <c r="D405" t="s">
        <v>60</v>
      </c>
      <c r="E405" t="s">
        <v>21</v>
      </c>
      <c r="F405">
        <v>43</v>
      </c>
      <c r="G405">
        <v>1453</v>
      </c>
      <c r="H405" t="s">
        <v>36</v>
      </c>
      <c r="I405" t="s">
        <v>23</v>
      </c>
      <c r="J405" s="1">
        <v>45925</v>
      </c>
      <c r="K405" t="s">
        <v>27</v>
      </c>
      <c r="L405" t="s">
        <v>31</v>
      </c>
      <c r="M405" t="s">
        <v>31</v>
      </c>
      <c r="N405">
        <v>4</v>
      </c>
      <c r="O405">
        <v>5</v>
      </c>
      <c r="P405">
        <v>79</v>
      </c>
      <c r="Q405" t="s">
        <v>27</v>
      </c>
      <c r="R405">
        <f>IF(tblSubscriptions[[#This Row],[churned]] = "Yes",1,0)</f>
        <v>0</v>
      </c>
      <c r="S405">
        <f t="shared" si="30"/>
        <v>0</v>
      </c>
      <c r="T405">
        <f t="shared" si="31"/>
        <v>1</v>
      </c>
      <c r="U405">
        <f t="shared" si="32"/>
        <v>0</v>
      </c>
      <c r="V405">
        <f t="shared" si="33"/>
        <v>1</v>
      </c>
      <c r="W405" t="str">
        <f t="shared" si="34"/>
        <v>Medium Risk</v>
      </c>
    </row>
    <row r="406" spans="1:23">
      <c r="A406" t="s">
        <v>657</v>
      </c>
      <c r="B406" t="s">
        <v>39</v>
      </c>
      <c r="C406" t="s">
        <v>19</v>
      </c>
      <c r="D406" t="s">
        <v>44</v>
      </c>
      <c r="E406" t="s">
        <v>41</v>
      </c>
      <c r="F406">
        <v>7</v>
      </c>
      <c r="G406">
        <v>378</v>
      </c>
      <c r="H406" t="s">
        <v>70</v>
      </c>
      <c r="I406" t="s">
        <v>23</v>
      </c>
      <c r="J406" s="1">
        <v>45711</v>
      </c>
      <c r="K406" t="s">
        <v>27</v>
      </c>
      <c r="L406" t="s">
        <v>31</v>
      </c>
      <c r="M406" t="s">
        <v>31</v>
      </c>
      <c r="N406">
        <v>11</v>
      </c>
      <c r="O406">
        <v>1</v>
      </c>
      <c r="P406">
        <v>29</v>
      </c>
      <c r="Q406" t="s">
        <v>24</v>
      </c>
      <c r="R406">
        <f>IF(tblSubscriptions[[#This Row],[churned]] = "Yes",1,0)</f>
        <v>0</v>
      </c>
      <c r="S406">
        <f t="shared" si="30"/>
        <v>1</v>
      </c>
      <c r="T406">
        <f t="shared" si="31"/>
        <v>1</v>
      </c>
      <c r="U406">
        <f t="shared" si="32"/>
        <v>1</v>
      </c>
      <c r="V406">
        <f t="shared" si="33"/>
        <v>3</v>
      </c>
      <c r="W406" t="str">
        <f t="shared" si="34"/>
        <v>High Risk</v>
      </c>
    </row>
    <row r="407" spans="1:23">
      <c r="A407" t="s">
        <v>658</v>
      </c>
      <c r="B407" t="s">
        <v>39</v>
      </c>
      <c r="C407" t="s">
        <v>19</v>
      </c>
      <c r="D407" t="s">
        <v>20</v>
      </c>
      <c r="E407" t="s">
        <v>21</v>
      </c>
      <c r="F407">
        <v>29</v>
      </c>
      <c r="G407">
        <v>1035</v>
      </c>
      <c r="H407" t="s">
        <v>30</v>
      </c>
      <c r="I407" t="s">
        <v>23</v>
      </c>
      <c r="J407" s="1">
        <v>44979</v>
      </c>
      <c r="K407" t="s">
        <v>24</v>
      </c>
      <c r="L407" t="s">
        <v>659</v>
      </c>
      <c r="M407" t="s">
        <v>102</v>
      </c>
      <c r="N407">
        <v>14</v>
      </c>
      <c r="O407">
        <v>4</v>
      </c>
      <c r="P407">
        <v>41</v>
      </c>
      <c r="Q407" t="s">
        <v>27</v>
      </c>
      <c r="R407">
        <f>IF(tblSubscriptions[[#This Row],[churned]] = "Yes",1,0)</f>
        <v>1</v>
      </c>
      <c r="S407">
        <f t="shared" si="30"/>
        <v>1</v>
      </c>
      <c r="T407">
        <f t="shared" si="31"/>
        <v>1</v>
      </c>
      <c r="U407">
        <f t="shared" si="32"/>
        <v>1</v>
      </c>
      <c r="V407">
        <f t="shared" si="33"/>
        <v>3</v>
      </c>
      <c r="W407" t="str">
        <f t="shared" si="34"/>
        <v>High Risk</v>
      </c>
    </row>
    <row r="408" spans="1:23">
      <c r="A408" t="s">
        <v>660</v>
      </c>
      <c r="B408" t="s">
        <v>18</v>
      </c>
      <c r="C408" t="s">
        <v>29</v>
      </c>
      <c r="D408" t="s">
        <v>97</v>
      </c>
      <c r="E408" t="s">
        <v>35</v>
      </c>
      <c r="F408">
        <v>115</v>
      </c>
      <c r="G408">
        <v>1215</v>
      </c>
      <c r="H408" t="s">
        <v>48</v>
      </c>
      <c r="I408" t="s">
        <v>42</v>
      </c>
      <c r="J408" s="1">
        <v>44816</v>
      </c>
      <c r="K408" t="s">
        <v>24</v>
      </c>
      <c r="L408" t="s">
        <v>661</v>
      </c>
      <c r="M408" t="s">
        <v>102</v>
      </c>
      <c r="N408">
        <v>7</v>
      </c>
      <c r="O408">
        <v>4</v>
      </c>
      <c r="P408">
        <v>48</v>
      </c>
      <c r="Q408" t="s">
        <v>27</v>
      </c>
      <c r="R408">
        <f>IF(tblSubscriptions[[#This Row],[churned]] = "Yes",1,0)</f>
        <v>1</v>
      </c>
      <c r="S408">
        <f t="shared" si="30"/>
        <v>1</v>
      </c>
      <c r="T408">
        <f t="shared" si="31"/>
        <v>1</v>
      </c>
      <c r="U408">
        <f t="shared" si="32"/>
        <v>0</v>
      </c>
      <c r="V408">
        <f t="shared" si="33"/>
        <v>2</v>
      </c>
      <c r="W408" t="str">
        <f t="shared" si="34"/>
        <v>High Risk</v>
      </c>
    </row>
    <row r="409" spans="1:23">
      <c r="A409" t="s">
        <v>662</v>
      </c>
      <c r="B409" t="s">
        <v>33</v>
      </c>
      <c r="C409" t="s">
        <v>19</v>
      </c>
      <c r="D409" t="s">
        <v>34</v>
      </c>
      <c r="E409" t="s">
        <v>21</v>
      </c>
      <c r="F409">
        <v>75</v>
      </c>
      <c r="G409">
        <v>351</v>
      </c>
      <c r="H409" t="s">
        <v>70</v>
      </c>
      <c r="I409" t="s">
        <v>23</v>
      </c>
      <c r="J409" s="1">
        <v>45944</v>
      </c>
      <c r="K409" t="s">
        <v>27</v>
      </c>
      <c r="L409" t="s">
        <v>31</v>
      </c>
      <c r="M409" t="s">
        <v>31</v>
      </c>
      <c r="N409">
        <v>10</v>
      </c>
      <c r="O409">
        <v>8</v>
      </c>
      <c r="P409">
        <v>92</v>
      </c>
      <c r="Q409" t="s">
        <v>27</v>
      </c>
      <c r="R409">
        <f>IF(tblSubscriptions[[#This Row],[churned]] = "Yes",1,0)</f>
        <v>0</v>
      </c>
      <c r="S409">
        <f t="shared" si="30"/>
        <v>0</v>
      </c>
      <c r="T409">
        <f t="shared" si="31"/>
        <v>0</v>
      </c>
      <c r="U409">
        <f t="shared" si="32"/>
        <v>0</v>
      </c>
      <c r="V409">
        <f t="shared" si="33"/>
        <v>0</v>
      </c>
      <c r="W409" t="str">
        <f t="shared" si="34"/>
        <v>Low Risk</v>
      </c>
    </row>
    <row r="410" spans="1:23">
      <c r="A410" t="s">
        <v>663</v>
      </c>
      <c r="B410" t="s">
        <v>33</v>
      </c>
      <c r="C410" t="s">
        <v>19</v>
      </c>
      <c r="D410" t="s">
        <v>44</v>
      </c>
      <c r="E410" t="s">
        <v>47</v>
      </c>
      <c r="F410">
        <v>8</v>
      </c>
      <c r="G410">
        <v>59</v>
      </c>
      <c r="H410" t="s">
        <v>48</v>
      </c>
      <c r="I410" t="s">
        <v>23</v>
      </c>
      <c r="J410" s="1">
        <v>45748</v>
      </c>
      <c r="K410" t="s">
        <v>24</v>
      </c>
      <c r="L410" t="s">
        <v>301</v>
      </c>
      <c r="M410" t="s">
        <v>52</v>
      </c>
      <c r="N410">
        <v>11</v>
      </c>
      <c r="O410">
        <v>2</v>
      </c>
      <c r="P410">
        <v>27</v>
      </c>
      <c r="Q410" t="s">
        <v>27</v>
      </c>
      <c r="R410">
        <f>IF(tblSubscriptions[[#This Row],[churned]] = "Yes",1,0)</f>
        <v>1</v>
      </c>
      <c r="S410">
        <f t="shared" si="30"/>
        <v>1</v>
      </c>
      <c r="T410">
        <f t="shared" si="31"/>
        <v>1</v>
      </c>
      <c r="U410">
        <f t="shared" si="32"/>
        <v>1</v>
      </c>
      <c r="V410">
        <f t="shared" si="33"/>
        <v>3</v>
      </c>
      <c r="W410" t="str">
        <f t="shared" si="34"/>
        <v>High Risk</v>
      </c>
    </row>
    <row r="411" spans="1:23">
      <c r="A411" t="s">
        <v>664</v>
      </c>
      <c r="B411" t="s">
        <v>18</v>
      </c>
      <c r="C411" t="s">
        <v>19</v>
      </c>
      <c r="D411" t="s">
        <v>83</v>
      </c>
      <c r="E411" t="s">
        <v>50</v>
      </c>
      <c r="F411">
        <v>125</v>
      </c>
      <c r="G411">
        <v>1548</v>
      </c>
      <c r="H411" t="s">
        <v>48</v>
      </c>
      <c r="I411" t="s">
        <v>23</v>
      </c>
      <c r="J411" s="1">
        <v>44637</v>
      </c>
      <c r="K411" t="s">
        <v>24</v>
      </c>
      <c r="L411" t="s">
        <v>665</v>
      </c>
      <c r="M411" t="s">
        <v>26</v>
      </c>
      <c r="N411">
        <v>14</v>
      </c>
      <c r="O411">
        <v>4</v>
      </c>
      <c r="P411">
        <v>12</v>
      </c>
      <c r="Q411" t="s">
        <v>27</v>
      </c>
      <c r="R411">
        <f>IF(tblSubscriptions[[#This Row],[churned]] = "Yes",1,0)</f>
        <v>1</v>
      </c>
      <c r="S411">
        <f t="shared" si="30"/>
        <v>1</v>
      </c>
      <c r="T411">
        <f t="shared" si="31"/>
        <v>1</v>
      </c>
      <c r="U411">
        <f t="shared" si="32"/>
        <v>1</v>
      </c>
      <c r="V411">
        <f t="shared" si="33"/>
        <v>3</v>
      </c>
      <c r="W411" t="str">
        <f t="shared" si="34"/>
        <v>High Risk</v>
      </c>
    </row>
    <row r="412" spans="1:23">
      <c r="A412" t="s">
        <v>666</v>
      </c>
      <c r="B412" t="s">
        <v>18</v>
      </c>
      <c r="C412" t="s">
        <v>19</v>
      </c>
      <c r="D412" t="s">
        <v>34</v>
      </c>
      <c r="E412" t="s">
        <v>50</v>
      </c>
      <c r="F412">
        <v>92</v>
      </c>
      <c r="G412">
        <v>1157</v>
      </c>
      <c r="H412" t="s">
        <v>70</v>
      </c>
      <c r="I412" t="s">
        <v>42</v>
      </c>
      <c r="J412" s="1">
        <v>45532</v>
      </c>
      <c r="K412" t="s">
        <v>24</v>
      </c>
      <c r="L412" t="s">
        <v>667</v>
      </c>
      <c r="M412" t="s">
        <v>26</v>
      </c>
      <c r="N412">
        <v>13</v>
      </c>
      <c r="O412">
        <v>1</v>
      </c>
      <c r="P412">
        <v>18</v>
      </c>
      <c r="Q412" t="s">
        <v>27</v>
      </c>
      <c r="R412">
        <f>IF(tblSubscriptions[[#This Row],[churned]] = "Yes",1,0)</f>
        <v>1</v>
      </c>
      <c r="S412">
        <f t="shared" si="30"/>
        <v>1</v>
      </c>
      <c r="T412">
        <f t="shared" si="31"/>
        <v>1</v>
      </c>
      <c r="U412">
        <f t="shared" si="32"/>
        <v>1</v>
      </c>
      <c r="V412">
        <f t="shared" si="33"/>
        <v>3</v>
      </c>
      <c r="W412" t="str">
        <f t="shared" si="34"/>
        <v>High Risk</v>
      </c>
    </row>
    <row r="413" spans="1:23">
      <c r="A413" t="s">
        <v>668</v>
      </c>
      <c r="B413" t="s">
        <v>18</v>
      </c>
      <c r="C413" t="s">
        <v>19</v>
      </c>
      <c r="D413" t="s">
        <v>60</v>
      </c>
      <c r="E413" t="s">
        <v>21</v>
      </c>
      <c r="F413">
        <v>45</v>
      </c>
      <c r="G413">
        <v>600</v>
      </c>
      <c r="H413" t="s">
        <v>70</v>
      </c>
      <c r="I413" t="s">
        <v>23</v>
      </c>
      <c r="J413" s="1">
        <v>44890</v>
      </c>
      <c r="K413" t="s">
        <v>24</v>
      </c>
      <c r="L413" t="s">
        <v>669</v>
      </c>
      <c r="M413" t="s">
        <v>75</v>
      </c>
      <c r="N413">
        <v>8</v>
      </c>
      <c r="O413">
        <v>4</v>
      </c>
      <c r="P413">
        <v>24</v>
      </c>
      <c r="Q413" t="s">
        <v>27</v>
      </c>
      <c r="R413">
        <f>IF(tblSubscriptions[[#This Row],[churned]] = "Yes",1,0)</f>
        <v>1</v>
      </c>
      <c r="S413">
        <f t="shared" si="30"/>
        <v>1</v>
      </c>
      <c r="T413">
        <f t="shared" si="31"/>
        <v>1</v>
      </c>
      <c r="U413">
        <f t="shared" si="32"/>
        <v>0</v>
      </c>
      <c r="V413">
        <f t="shared" si="33"/>
        <v>2</v>
      </c>
      <c r="W413" t="str">
        <f t="shared" si="34"/>
        <v>High Risk</v>
      </c>
    </row>
    <row r="414" spans="1:23">
      <c r="A414" t="s">
        <v>670</v>
      </c>
      <c r="B414" t="s">
        <v>39</v>
      </c>
      <c r="C414" t="s">
        <v>29</v>
      </c>
      <c r="D414" t="s">
        <v>40</v>
      </c>
      <c r="E414" t="s">
        <v>50</v>
      </c>
      <c r="F414">
        <v>49</v>
      </c>
      <c r="G414">
        <v>1387</v>
      </c>
      <c r="H414" t="s">
        <v>36</v>
      </c>
      <c r="I414" t="s">
        <v>64</v>
      </c>
      <c r="J414" s="1">
        <v>44847</v>
      </c>
      <c r="K414" t="s">
        <v>27</v>
      </c>
      <c r="L414" t="s">
        <v>31</v>
      </c>
      <c r="M414" t="s">
        <v>31</v>
      </c>
      <c r="N414">
        <v>0</v>
      </c>
      <c r="O414">
        <v>9</v>
      </c>
      <c r="P414">
        <v>95</v>
      </c>
      <c r="Q414" t="s">
        <v>27</v>
      </c>
      <c r="R414">
        <f>IF(tblSubscriptions[[#This Row],[churned]] = "Yes",1,0)</f>
        <v>0</v>
      </c>
      <c r="S414">
        <f t="shared" si="30"/>
        <v>0</v>
      </c>
      <c r="T414">
        <f t="shared" si="31"/>
        <v>0</v>
      </c>
      <c r="U414">
        <f t="shared" si="32"/>
        <v>0</v>
      </c>
      <c r="V414">
        <f t="shared" si="33"/>
        <v>0</v>
      </c>
      <c r="W414" t="str">
        <f t="shared" si="34"/>
        <v>Low Risk</v>
      </c>
    </row>
    <row r="415" spans="1:23">
      <c r="A415" t="s">
        <v>671</v>
      </c>
      <c r="B415" t="s">
        <v>39</v>
      </c>
      <c r="C415" t="s">
        <v>19</v>
      </c>
      <c r="D415" t="s">
        <v>40</v>
      </c>
      <c r="E415" t="s">
        <v>50</v>
      </c>
      <c r="F415">
        <v>137</v>
      </c>
      <c r="G415">
        <v>4259</v>
      </c>
      <c r="H415" t="s">
        <v>48</v>
      </c>
      <c r="I415" t="s">
        <v>64</v>
      </c>
      <c r="J415" s="1">
        <v>45130</v>
      </c>
      <c r="K415" t="s">
        <v>24</v>
      </c>
      <c r="L415" t="s">
        <v>672</v>
      </c>
      <c r="M415" t="s">
        <v>102</v>
      </c>
      <c r="N415">
        <v>15</v>
      </c>
      <c r="O415">
        <v>1</v>
      </c>
      <c r="P415">
        <v>25</v>
      </c>
      <c r="Q415" t="s">
        <v>27</v>
      </c>
      <c r="R415">
        <f>IF(tblSubscriptions[[#This Row],[churned]] = "Yes",1,0)</f>
        <v>1</v>
      </c>
      <c r="S415">
        <f t="shared" si="30"/>
        <v>1</v>
      </c>
      <c r="T415">
        <f t="shared" si="31"/>
        <v>1</v>
      </c>
      <c r="U415">
        <f t="shared" si="32"/>
        <v>1</v>
      </c>
      <c r="V415">
        <f t="shared" si="33"/>
        <v>3</v>
      </c>
      <c r="W415" t="str">
        <f t="shared" si="34"/>
        <v>High Risk</v>
      </c>
    </row>
    <row r="416" spans="1:23">
      <c r="A416" t="s">
        <v>673</v>
      </c>
      <c r="B416" t="s">
        <v>33</v>
      </c>
      <c r="C416" t="s">
        <v>19</v>
      </c>
      <c r="D416" t="s">
        <v>20</v>
      </c>
      <c r="E416" t="s">
        <v>41</v>
      </c>
      <c r="F416">
        <v>13</v>
      </c>
      <c r="G416">
        <v>81</v>
      </c>
      <c r="H416" t="s">
        <v>124</v>
      </c>
      <c r="I416" t="s">
        <v>42</v>
      </c>
      <c r="J416" s="1">
        <v>45543</v>
      </c>
      <c r="K416" t="s">
        <v>24</v>
      </c>
      <c r="L416" t="s">
        <v>674</v>
      </c>
      <c r="M416" t="s">
        <v>58</v>
      </c>
      <c r="N416">
        <v>7</v>
      </c>
      <c r="O416">
        <v>3</v>
      </c>
      <c r="P416">
        <v>45</v>
      </c>
      <c r="Q416" t="s">
        <v>27</v>
      </c>
      <c r="R416">
        <f>IF(tblSubscriptions[[#This Row],[churned]] = "Yes",1,0)</f>
        <v>1</v>
      </c>
      <c r="S416">
        <f t="shared" si="30"/>
        <v>1</v>
      </c>
      <c r="T416">
        <f t="shared" si="31"/>
        <v>1</v>
      </c>
      <c r="U416">
        <f t="shared" si="32"/>
        <v>0</v>
      </c>
      <c r="V416">
        <f t="shared" si="33"/>
        <v>2</v>
      </c>
      <c r="W416" t="str">
        <f t="shared" si="34"/>
        <v>High Risk</v>
      </c>
    </row>
    <row r="417" spans="1:23">
      <c r="A417" t="s">
        <v>675</v>
      </c>
      <c r="B417" t="s">
        <v>39</v>
      </c>
      <c r="C417" t="s">
        <v>29</v>
      </c>
      <c r="D417" t="s">
        <v>44</v>
      </c>
      <c r="E417" t="s">
        <v>41</v>
      </c>
      <c r="F417">
        <v>14</v>
      </c>
      <c r="G417">
        <v>499</v>
      </c>
      <c r="H417" t="s">
        <v>124</v>
      </c>
      <c r="I417" t="s">
        <v>42</v>
      </c>
      <c r="J417" s="1">
        <v>45706</v>
      </c>
      <c r="K417" t="s">
        <v>24</v>
      </c>
      <c r="L417" t="s">
        <v>676</v>
      </c>
      <c r="M417" t="s">
        <v>102</v>
      </c>
      <c r="N417">
        <v>13</v>
      </c>
      <c r="O417">
        <v>1</v>
      </c>
      <c r="P417">
        <v>33</v>
      </c>
      <c r="Q417" t="s">
        <v>27</v>
      </c>
      <c r="R417">
        <f>IF(tblSubscriptions[[#This Row],[churned]] = "Yes",1,0)</f>
        <v>1</v>
      </c>
      <c r="S417">
        <f t="shared" si="30"/>
        <v>1</v>
      </c>
      <c r="T417">
        <f t="shared" si="31"/>
        <v>1</v>
      </c>
      <c r="U417">
        <f t="shared" si="32"/>
        <v>1</v>
      </c>
      <c r="V417">
        <f t="shared" si="33"/>
        <v>3</v>
      </c>
      <c r="W417" t="str">
        <f t="shared" si="34"/>
        <v>High Risk</v>
      </c>
    </row>
    <row r="418" spans="1:23">
      <c r="A418" t="s">
        <v>677</v>
      </c>
      <c r="B418" t="s">
        <v>33</v>
      </c>
      <c r="C418" t="s">
        <v>29</v>
      </c>
      <c r="D418" t="s">
        <v>40</v>
      </c>
      <c r="E418" t="s">
        <v>41</v>
      </c>
      <c r="F418">
        <v>18</v>
      </c>
      <c r="G418">
        <v>88</v>
      </c>
      <c r="H418" t="s">
        <v>22</v>
      </c>
      <c r="I418" t="s">
        <v>84</v>
      </c>
      <c r="J418" s="1">
        <v>45521</v>
      </c>
      <c r="K418" t="s">
        <v>24</v>
      </c>
      <c r="L418" t="s">
        <v>678</v>
      </c>
      <c r="M418" t="s">
        <v>26</v>
      </c>
      <c r="N418">
        <v>10</v>
      </c>
      <c r="O418">
        <v>1</v>
      </c>
      <c r="P418">
        <v>36</v>
      </c>
      <c r="Q418" t="s">
        <v>27</v>
      </c>
      <c r="R418">
        <f>IF(tblSubscriptions[[#This Row],[churned]] = "Yes",1,0)</f>
        <v>1</v>
      </c>
      <c r="S418">
        <f t="shared" si="30"/>
        <v>1</v>
      </c>
      <c r="T418">
        <f t="shared" si="31"/>
        <v>1</v>
      </c>
      <c r="U418">
        <f t="shared" si="32"/>
        <v>0</v>
      </c>
      <c r="V418">
        <f t="shared" si="33"/>
        <v>2</v>
      </c>
      <c r="W418" t="str">
        <f t="shared" si="34"/>
        <v>High Risk</v>
      </c>
    </row>
    <row r="419" spans="1:23">
      <c r="A419" t="s">
        <v>679</v>
      </c>
      <c r="B419" t="s">
        <v>33</v>
      </c>
      <c r="C419" t="s">
        <v>19</v>
      </c>
      <c r="D419" t="s">
        <v>97</v>
      </c>
      <c r="E419" t="s">
        <v>47</v>
      </c>
      <c r="F419">
        <v>2</v>
      </c>
      <c r="G419">
        <v>33</v>
      </c>
      <c r="H419" t="s">
        <v>124</v>
      </c>
      <c r="I419" t="s">
        <v>84</v>
      </c>
      <c r="J419" s="1">
        <v>44839</v>
      </c>
      <c r="K419" t="s">
        <v>24</v>
      </c>
      <c r="L419" t="s">
        <v>680</v>
      </c>
      <c r="M419" t="s">
        <v>58</v>
      </c>
      <c r="N419">
        <v>11</v>
      </c>
      <c r="O419">
        <v>1</v>
      </c>
      <c r="P419">
        <v>37</v>
      </c>
      <c r="Q419" t="s">
        <v>27</v>
      </c>
      <c r="R419">
        <f>IF(tblSubscriptions[[#This Row],[churned]] = "Yes",1,0)</f>
        <v>1</v>
      </c>
      <c r="S419">
        <f t="shared" si="30"/>
        <v>1</v>
      </c>
      <c r="T419">
        <f t="shared" si="31"/>
        <v>1</v>
      </c>
      <c r="U419">
        <f t="shared" si="32"/>
        <v>1</v>
      </c>
      <c r="V419">
        <f t="shared" si="33"/>
        <v>3</v>
      </c>
      <c r="W419" t="str">
        <f t="shared" si="34"/>
        <v>High Risk</v>
      </c>
    </row>
    <row r="420" spans="1:23">
      <c r="A420" t="s">
        <v>681</v>
      </c>
      <c r="B420" t="s">
        <v>18</v>
      </c>
      <c r="C420" t="s">
        <v>29</v>
      </c>
      <c r="D420" t="s">
        <v>44</v>
      </c>
      <c r="E420" t="s">
        <v>50</v>
      </c>
      <c r="F420">
        <v>143</v>
      </c>
      <c r="G420">
        <v>1497</v>
      </c>
      <c r="H420" t="s">
        <v>22</v>
      </c>
      <c r="I420" t="s">
        <v>42</v>
      </c>
      <c r="J420" s="1">
        <v>44655</v>
      </c>
      <c r="K420" t="s">
        <v>27</v>
      </c>
      <c r="L420" t="s">
        <v>31</v>
      </c>
      <c r="M420" t="s">
        <v>31</v>
      </c>
      <c r="N420">
        <v>2</v>
      </c>
      <c r="O420">
        <v>9</v>
      </c>
      <c r="P420">
        <v>29</v>
      </c>
      <c r="Q420" t="s">
        <v>24</v>
      </c>
      <c r="R420">
        <f>IF(tblSubscriptions[[#This Row],[churned]] = "Yes",1,0)</f>
        <v>0</v>
      </c>
      <c r="S420">
        <f t="shared" si="30"/>
        <v>1</v>
      </c>
      <c r="T420">
        <f t="shared" si="31"/>
        <v>0</v>
      </c>
      <c r="U420">
        <f t="shared" si="32"/>
        <v>0</v>
      </c>
      <c r="V420">
        <f t="shared" si="33"/>
        <v>1</v>
      </c>
      <c r="W420" t="str">
        <f t="shared" si="34"/>
        <v>Medium Risk</v>
      </c>
    </row>
    <row r="421" spans="1:23">
      <c r="A421" t="s">
        <v>682</v>
      </c>
      <c r="B421" t="s">
        <v>18</v>
      </c>
      <c r="C421" t="s">
        <v>19</v>
      </c>
      <c r="D421" t="s">
        <v>20</v>
      </c>
      <c r="E421" t="s">
        <v>47</v>
      </c>
      <c r="F421">
        <v>8</v>
      </c>
      <c r="G421">
        <v>162</v>
      </c>
      <c r="H421" t="s">
        <v>48</v>
      </c>
      <c r="I421" t="s">
        <v>23</v>
      </c>
      <c r="J421" s="1">
        <v>44627</v>
      </c>
      <c r="K421" t="s">
        <v>24</v>
      </c>
      <c r="L421" t="s">
        <v>683</v>
      </c>
      <c r="M421" t="s">
        <v>102</v>
      </c>
      <c r="N421">
        <v>7</v>
      </c>
      <c r="O421">
        <v>2</v>
      </c>
      <c r="P421">
        <v>10</v>
      </c>
      <c r="Q421" t="s">
        <v>27</v>
      </c>
      <c r="R421">
        <f>IF(tblSubscriptions[[#This Row],[churned]] = "Yes",1,0)</f>
        <v>1</v>
      </c>
      <c r="S421">
        <f t="shared" si="30"/>
        <v>1</v>
      </c>
      <c r="T421">
        <f t="shared" si="31"/>
        <v>1</v>
      </c>
      <c r="U421">
        <f t="shared" si="32"/>
        <v>0</v>
      </c>
      <c r="V421">
        <f t="shared" si="33"/>
        <v>2</v>
      </c>
      <c r="W421" t="str">
        <f t="shared" si="34"/>
        <v>High Risk</v>
      </c>
    </row>
    <row r="422" spans="1:23">
      <c r="A422" t="s">
        <v>684</v>
      </c>
      <c r="B422" t="s">
        <v>18</v>
      </c>
      <c r="C422" t="s">
        <v>19</v>
      </c>
      <c r="D422" t="s">
        <v>44</v>
      </c>
      <c r="E422" t="s">
        <v>35</v>
      </c>
      <c r="F422">
        <v>185</v>
      </c>
      <c r="G422">
        <v>2259</v>
      </c>
      <c r="H422" t="s">
        <v>70</v>
      </c>
      <c r="I422" t="s">
        <v>23</v>
      </c>
      <c r="J422" s="1">
        <v>44830</v>
      </c>
      <c r="K422" t="s">
        <v>24</v>
      </c>
      <c r="L422" t="s">
        <v>685</v>
      </c>
      <c r="M422" t="s">
        <v>52</v>
      </c>
      <c r="N422">
        <v>10</v>
      </c>
      <c r="O422">
        <v>6</v>
      </c>
      <c r="P422">
        <v>29</v>
      </c>
      <c r="Q422" t="s">
        <v>27</v>
      </c>
      <c r="R422">
        <f>IF(tblSubscriptions[[#This Row],[churned]] = "Yes",1,0)</f>
        <v>1</v>
      </c>
      <c r="S422">
        <f t="shared" si="30"/>
        <v>1</v>
      </c>
      <c r="T422">
        <f t="shared" si="31"/>
        <v>1</v>
      </c>
      <c r="U422">
        <f t="shared" si="32"/>
        <v>0</v>
      </c>
      <c r="V422">
        <f t="shared" si="33"/>
        <v>2</v>
      </c>
      <c r="W422" t="str">
        <f t="shared" si="34"/>
        <v>High Risk</v>
      </c>
    </row>
    <row r="423" spans="1:23">
      <c r="A423" t="s">
        <v>686</v>
      </c>
      <c r="B423" t="s">
        <v>18</v>
      </c>
      <c r="C423" t="s">
        <v>19</v>
      </c>
      <c r="D423" t="s">
        <v>97</v>
      </c>
      <c r="E423" t="s">
        <v>21</v>
      </c>
      <c r="F423">
        <v>59</v>
      </c>
      <c r="G423">
        <v>766</v>
      </c>
      <c r="H423" t="s">
        <v>124</v>
      </c>
      <c r="I423" t="s">
        <v>23</v>
      </c>
      <c r="J423" s="1">
        <v>45030</v>
      </c>
      <c r="K423" t="s">
        <v>27</v>
      </c>
      <c r="L423" t="s">
        <v>31</v>
      </c>
      <c r="M423" t="s">
        <v>31</v>
      </c>
      <c r="N423">
        <v>3</v>
      </c>
      <c r="O423">
        <v>7</v>
      </c>
      <c r="P423">
        <v>92</v>
      </c>
      <c r="Q423" t="s">
        <v>24</v>
      </c>
      <c r="R423">
        <f>IF(tblSubscriptions[[#This Row],[churned]] = "Yes",1,0)</f>
        <v>0</v>
      </c>
      <c r="S423">
        <f t="shared" si="30"/>
        <v>0</v>
      </c>
      <c r="T423">
        <f t="shared" si="31"/>
        <v>0</v>
      </c>
      <c r="U423">
        <f t="shared" si="32"/>
        <v>0</v>
      </c>
      <c r="V423">
        <f t="shared" si="33"/>
        <v>0</v>
      </c>
      <c r="W423" t="str">
        <f t="shared" si="34"/>
        <v>Low Risk</v>
      </c>
    </row>
    <row r="424" spans="1:23">
      <c r="A424" t="s">
        <v>687</v>
      </c>
      <c r="B424" t="s">
        <v>33</v>
      </c>
      <c r="C424" t="s">
        <v>19</v>
      </c>
      <c r="D424" t="s">
        <v>44</v>
      </c>
      <c r="E424" t="s">
        <v>41</v>
      </c>
      <c r="F424">
        <v>15</v>
      </c>
      <c r="G424">
        <v>90</v>
      </c>
      <c r="H424" t="s">
        <v>48</v>
      </c>
      <c r="I424" t="s">
        <v>42</v>
      </c>
      <c r="J424" s="1">
        <v>45228</v>
      </c>
      <c r="K424" t="s">
        <v>24</v>
      </c>
      <c r="L424" t="s">
        <v>688</v>
      </c>
      <c r="M424" t="s">
        <v>26</v>
      </c>
      <c r="N424">
        <v>4</v>
      </c>
      <c r="O424">
        <v>5</v>
      </c>
      <c r="P424">
        <v>20</v>
      </c>
      <c r="Q424" t="s">
        <v>27</v>
      </c>
      <c r="R424">
        <f>IF(tblSubscriptions[[#This Row],[churned]] = "Yes",1,0)</f>
        <v>1</v>
      </c>
      <c r="S424">
        <f t="shared" si="30"/>
        <v>1</v>
      </c>
      <c r="T424">
        <f t="shared" si="31"/>
        <v>1</v>
      </c>
      <c r="U424">
        <f t="shared" si="32"/>
        <v>0</v>
      </c>
      <c r="V424">
        <f t="shared" si="33"/>
        <v>2</v>
      </c>
      <c r="W424" t="str">
        <f t="shared" si="34"/>
        <v>High Risk</v>
      </c>
    </row>
    <row r="425" spans="1:23">
      <c r="A425" t="s">
        <v>689</v>
      </c>
      <c r="B425" t="s">
        <v>33</v>
      </c>
      <c r="C425" t="s">
        <v>19</v>
      </c>
      <c r="D425" t="s">
        <v>56</v>
      </c>
      <c r="E425" t="s">
        <v>47</v>
      </c>
      <c r="F425">
        <v>5</v>
      </c>
      <c r="G425">
        <v>46</v>
      </c>
      <c r="H425" t="s">
        <v>48</v>
      </c>
      <c r="I425" t="s">
        <v>42</v>
      </c>
      <c r="J425" s="1">
        <v>45041</v>
      </c>
      <c r="K425" t="s">
        <v>24</v>
      </c>
      <c r="L425" t="s">
        <v>690</v>
      </c>
      <c r="M425" t="s">
        <v>62</v>
      </c>
      <c r="N425">
        <v>11</v>
      </c>
      <c r="O425">
        <v>6</v>
      </c>
      <c r="P425">
        <v>50</v>
      </c>
      <c r="Q425" t="s">
        <v>27</v>
      </c>
      <c r="R425">
        <f>IF(tblSubscriptions[[#This Row],[churned]] = "Yes",1,0)</f>
        <v>1</v>
      </c>
      <c r="S425">
        <f t="shared" si="30"/>
        <v>0</v>
      </c>
      <c r="T425">
        <f t="shared" si="31"/>
        <v>1</v>
      </c>
      <c r="U425">
        <f t="shared" si="32"/>
        <v>1</v>
      </c>
      <c r="V425">
        <f t="shared" si="33"/>
        <v>2</v>
      </c>
      <c r="W425" t="str">
        <f t="shared" si="34"/>
        <v>High Risk</v>
      </c>
    </row>
    <row r="426" spans="1:23">
      <c r="A426" t="s">
        <v>691</v>
      </c>
      <c r="B426" t="s">
        <v>33</v>
      </c>
      <c r="C426" t="s">
        <v>19</v>
      </c>
      <c r="D426" t="s">
        <v>46</v>
      </c>
      <c r="E426" t="s">
        <v>47</v>
      </c>
      <c r="F426">
        <v>6</v>
      </c>
      <c r="G426">
        <v>51</v>
      </c>
      <c r="H426" t="s">
        <v>48</v>
      </c>
      <c r="I426" t="s">
        <v>64</v>
      </c>
      <c r="J426" s="1">
        <v>45731</v>
      </c>
      <c r="K426" t="s">
        <v>24</v>
      </c>
      <c r="L426" t="s">
        <v>692</v>
      </c>
      <c r="M426" t="s">
        <v>75</v>
      </c>
      <c r="N426">
        <v>6</v>
      </c>
      <c r="O426">
        <v>2</v>
      </c>
      <c r="P426">
        <v>22</v>
      </c>
      <c r="Q426" t="s">
        <v>27</v>
      </c>
      <c r="R426">
        <f>IF(tblSubscriptions[[#This Row],[churned]] = "Yes",1,0)</f>
        <v>1</v>
      </c>
      <c r="S426">
        <f t="shared" si="30"/>
        <v>1</v>
      </c>
      <c r="T426">
        <f t="shared" si="31"/>
        <v>1</v>
      </c>
      <c r="U426">
        <f t="shared" si="32"/>
        <v>0</v>
      </c>
      <c r="V426">
        <f t="shared" si="33"/>
        <v>2</v>
      </c>
      <c r="W426" t="str">
        <f t="shared" si="34"/>
        <v>High Risk</v>
      </c>
    </row>
    <row r="427" spans="1:23">
      <c r="A427" t="s">
        <v>693</v>
      </c>
      <c r="B427" t="s">
        <v>39</v>
      </c>
      <c r="C427" t="s">
        <v>19</v>
      </c>
      <c r="D427" t="s">
        <v>73</v>
      </c>
      <c r="E427" t="s">
        <v>47</v>
      </c>
      <c r="F427">
        <v>7</v>
      </c>
      <c r="G427">
        <v>378</v>
      </c>
      <c r="H427" t="s">
        <v>22</v>
      </c>
      <c r="I427" t="s">
        <v>23</v>
      </c>
      <c r="J427" s="1">
        <v>45357</v>
      </c>
      <c r="K427" t="s">
        <v>27</v>
      </c>
      <c r="L427" t="s">
        <v>31</v>
      </c>
      <c r="M427" t="s">
        <v>31</v>
      </c>
      <c r="N427">
        <v>10</v>
      </c>
      <c r="O427">
        <v>10</v>
      </c>
      <c r="P427">
        <v>68</v>
      </c>
      <c r="Q427" t="s">
        <v>24</v>
      </c>
      <c r="R427">
        <f>IF(tblSubscriptions[[#This Row],[churned]] = "Yes",1,0)</f>
        <v>0</v>
      </c>
      <c r="S427">
        <f t="shared" si="30"/>
        <v>0</v>
      </c>
      <c r="T427">
        <f t="shared" si="31"/>
        <v>0</v>
      </c>
      <c r="U427">
        <f t="shared" si="32"/>
        <v>0</v>
      </c>
      <c r="V427">
        <f t="shared" si="33"/>
        <v>0</v>
      </c>
      <c r="W427" t="str">
        <f t="shared" si="34"/>
        <v>Low Risk</v>
      </c>
    </row>
    <row r="428" spans="1:23">
      <c r="A428" t="s">
        <v>694</v>
      </c>
      <c r="B428" t="s">
        <v>33</v>
      </c>
      <c r="C428" t="s">
        <v>29</v>
      </c>
      <c r="D428" t="s">
        <v>40</v>
      </c>
      <c r="E428" t="s">
        <v>21</v>
      </c>
      <c r="F428">
        <v>79</v>
      </c>
      <c r="G428">
        <v>313</v>
      </c>
      <c r="H428" t="s">
        <v>70</v>
      </c>
      <c r="I428" t="s">
        <v>84</v>
      </c>
      <c r="J428" s="1">
        <v>45651</v>
      </c>
      <c r="K428" t="s">
        <v>27</v>
      </c>
      <c r="L428" t="s">
        <v>31</v>
      </c>
      <c r="M428" t="s">
        <v>31</v>
      </c>
      <c r="N428">
        <v>6</v>
      </c>
      <c r="O428">
        <v>7</v>
      </c>
      <c r="P428">
        <v>37</v>
      </c>
      <c r="Q428" t="s">
        <v>27</v>
      </c>
      <c r="R428">
        <f>IF(tblSubscriptions[[#This Row],[churned]] = "Yes",1,0)</f>
        <v>0</v>
      </c>
      <c r="S428">
        <f t="shared" si="30"/>
        <v>1</v>
      </c>
      <c r="T428">
        <f t="shared" si="31"/>
        <v>0</v>
      </c>
      <c r="U428">
        <f t="shared" si="32"/>
        <v>0</v>
      </c>
      <c r="V428">
        <f t="shared" si="33"/>
        <v>1</v>
      </c>
      <c r="W428" t="str">
        <f t="shared" si="34"/>
        <v>Medium Risk</v>
      </c>
    </row>
    <row r="429" spans="1:23">
      <c r="A429" t="s">
        <v>695</v>
      </c>
      <c r="B429" t="s">
        <v>33</v>
      </c>
      <c r="C429" t="s">
        <v>19</v>
      </c>
      <c r="D429" t="s">
        <v>40</v>
      </c>
      <c r="E429" t="s">
        <v>41</v>
      </c>
      <c r="F429">
        <v>11</v>
      </c>
      <c r="G429">
        <v>73</v>
      </c>
      <c r="H429" t="s">
        <v>22</v>
      </c>
      <c r="I429" t="s">
        <v>23</v>
      </c>
      <c r="J429" s="1">
        <v>45948</v>
      </c>
      <c r="K429" t="s">
        <v>27</v>
      </c>
      <c r="L429" t="s">
        <v>31</v>
      </c>
      <c r="M429" t="s">
        <v>31</v>
      </c>
      <c r="N429">
        <v>1</v>
      </c>
      <c r="O429">
        <v>4</v>
      </c>
      <c r="P429">
        <v>24</v>
      </c>
      <c r="Q429" t="s">
        <v>27</v>
      </c>
      <c r="R429">
        <f>IF(tblSubscriptions[[#This Row],[churned]] = "Yes",1,0)</f>
        <v>0</v>
      </c>
      <c r="S429">
        <f t="shared" si="30"/>
        <v>1</v>
      </c>
      <c r="T429">
        <f t="shared" si="31"/>
        <v>1</v>
      </c>
      <c r="U429">
        <f t="shared" si="32"/>
        <v>0</v>
      </c>
      <c r="V429">
        <f t="shared" si="33"/>
        <v>2</v>
      </c>
      <c r="W429" t="str">
        <f t="shared" si="34"/>
        <v>High Risk</v>
      </c>
    </row>
    <row r="430" spans="1:23">
      <c r="A430" t="s">
        <v>696</v>
      </c>
      <c r="B430" t="s">
        <v>18</v>
      </c>
      <c r="C430" t="s">
        <v>19</v>
      </c>
      <c r="D430" t="s">
        <v>56</v>
      </c>
      <c r="E430" t="s">
        <v>41</v>
      </c>
      <c r="F430">
        <v>15</v>
      </c>
      <c r="G430">
        <v>245</v>
      </c>
      <c r="H430" t="s">
        <v>70</v>
      </c>
      <c r="I430" t="s">
        <v>42</v>
      </c>
      <c r="J430" s="1">
        <v>45817</v>
      </c>
      <c r="K430" t="s">
        <v>27</v>
      </c>
      <c r="L430" t="s">
        <v>31</v>
      </c>
      <c r="M430" t="s">
        <v>31</v>
      </c>
      <c r="N430">
        <v>8</v>
      </c>
      <c r="O430">
        <v>5</v>
      </c>
      <c r="P430">
        <v>32</v>
      </c>
      <c r="Q430" t="s">
        <v>27</v>
      </c>
      <c r="R430">
        <f>IF(tblSubscriptions[[#This Row],[churned]] = "Yes",1,0)</f>
        <v>0</v>
      </c>
      <c r="S430">
        <f t="shared" si="30"/>
        <v>1</v>
      </c>
      <c r="T430">
        <f t="shared" si="31"/>
        <v>1</v>
      </c>
      <c r="U430">
        <f t="shared" si="32"/>
        <v>0</v>
      </c>
      <c r="V430">
        <f t="shared" si="33"/>
        <v>2</v>
      </c>
      <c r="W430" t="str">
        <f t="shared" si="34"/>
        <v>High Risk</v>
      </c>
    </row>
    <row r="431" spans="1:23">
      <c r="A431" t="s">
        <v>697</v>
      </c>
      <c r="B431" t="s">
        <v>39</v>
      </c>
      <c r="C431" t="s">
        <v>19</v>
      </c>
      <c r="D431" t="s">
        <v>73</v>
      </c>
      <c r="E431" t="s">
        <v>41</v>
      </c>
      <c r="F431">
        <v>20</v>
      </c>
      <c r="G431">
        <v>766</v>
      </c>
      <c r="H431" t="s">
        <v>48</v>
      </c>
      <c r="I431" t="s">
        <v>42</v>
      </c>
      <c r="J431" s="1">
        <v>45966</v>
      </c>
      <c r="K431" t="s">
        <v>27</v>
      </c>
      <c r="L431" t="s">
        <v>31</v>
      </c>
      <c r="M431" t="s">
        <v>31</v>
      </c>
      <c r="N431">
        <v>2</v>
      </c>
      <c r="O431">
        <v>9</v>
      </c>
      <c r="P431">
        <v>39</v>
      </c>
      <c r="Q431" t="s">
        <v>27</v>
      </c>
      <c r="R431">
        <f>IF(tblSubscriptions[[#This Row],[churned]] = "Yes",1,0)</f>
        <v>0</v>
      </c>
      <c r="S431">
        <f t="shared" si="30"/>
        <v>1</v>
      </c>
      <c r="T431">
        <f t="shared" si="31"/>
        <v>0</v>
      </c>
      <c r="U431">
        <f t="shared" si="32"/>
        <v>0</v>
      </c>
      <c r="V431">
        <f t="shared" si="33"/>
        <v>1</v>
      </c>
      <c r="W431" t="str">
        <f t="shared" si="34"/>
        <v>Medium Risk</v>
      </c>
    </row>
    <row r="432" spans="1:23">
      <c r="A432" t="s">
        <v>698</v>
      </c>
      <c r="B432" t="s">
        <v>33</v>
      </c>
      <c r="C432" t="s">
        <v>29</v>
      </c>
      <c r="D432" t="s">
        <v>40</v>
      </c>
      <c r="E432" t="s">
        <v>41</v>
      </c>
      <c r="F432">
        <v>27</v>
      </c>
      <c r="G432">
        <v>121</v>
      </c>
      <c r="H432" t="s">
        <v>22</v>
      </c>
      <c r="I432" t="s">
        <v>64</v>
      </c>
      <c r="J432" s="1">
        <v>45933</v>
      </c>
      <c r="K432" t="s">
        <v>27</v>
      </c>
      <c r="L432" t="s">
        <v>31</v>
      </c>
      <c r="M432" t="s">
        <v>31</v>
      </c>
      <c r="N432">
        <v>3</v>
      </c>
      <c r="O432">
        <v>8</v>
      </c>
      <c r="P432">
        <v>22</v>
      </c>
      <c r="Q432" t="s">
        <v>27</v>
      </c>
      <c r="R432">
        <f>IF(tblSubscriptions[[#This Row],[churned]] = "Yes",1,0)</f>
        <v>0</v>
      </c>
      <c r="S432">
        <f t="shared" si="30"/>
        <v>1</v>
      </c>
      <c r="T432">
        <f t="shared" si="31"/>
        <v>0</v>
      </c>
      <c r="U432">
        <f t="shared" si="32"/>
        <v>0</v>
      </c>
      <c r="V432">
        <f t="shared" si="33"/>
        <v>1</v>
      </c>
      <c r="W432" t="str">
        <f t="shared" si="34"/>
        <v>Medium Risk</v>
      </c>
    </row>
    <row r="433" spans="1:23">
      <c r="A433" t="s">
        <v>699</v>
      </c>
      <c r="B433" t="s">
        <v>18</v>
      </c>
      <c r="C433" t="s">
        <v>29</v>
      </c>
      <c r="D433" t="s">
        <v>73</v>
      </c>
      <c r="E433" t="s">
        <v>21</v>
      </c>
      <c r="F433">
        <v>28</v>
      </c>
      <c r="G433">
        <v>339</v>
      </c>
      <c r="H433" t="s">
        <v>22</v>
      </c>
      <c r="I433" t="s">
        <v>23</v>
      </c>
      <c r="J433" s="1">
        <v>45787</v>
      </c>
      <c r="K433" t="s">
        <v>27</v>
      </c>
      <c r="L433" t="s">
        <v>31</v>
      </c>
      <c r="M433" t="s">
        <v>31</v>
      </c>
      <c r="N433">
        <v>2</v>
      </c>
      <c r="O433">
        <v>1</v>
      </c>
      <c r="P433">
        <v>51</v>
      </c>
      <c r="Q433" t="s">
        <v>27</v>
      </c>
      <c r="R433">
        <f>IF(tblSubscriptions[[#This Row],[churned]] = "Yes",1,0)</f>
        <v>0</v>
      </c>
      <c r="S433">
        <f t="shared" si="30"/>
        <v>0</v>
      </c>
      <c r="T433">
        <f t="shared" si="31"/>
        <v>1</v>
      </c>
      <c r="U433">
        <f t="shared" si="32"/>
        <v>0</v>
      </c>
      <c r="V433">
        <f t="shared" si="33"/>
        <v>1</v>
      </c>
      <c r="W433" t="str">
        <f t="shared" si="34"/>
        <v>Medium Risk</v>
      </c>
    </row>
    <row r="434" spans="1:23">
      <c r="A434" t="s">
        <v>700</v>
      </c>
      <c r="B434" t="s">
        <v>87</v>
      </c>
      <c r="C434" t="s">
        <v>19</v>
      </c>
      <c r="D434" t="s">
        <v>40</v>
      </c>
      <c r="E434" t="s">
        <v>41</v>
      </c>
      <c r="F434">
        <v>25</v>
      </c>
      <c r="G434">
        <v>2295</v>
      </c>
      <c r="H434" t="s">
        <v>22</v>
      </c>
      <c r="I434" t="s">
        <v>23</v>
      </c>
      <c r="J434" s="1">
        <v>45151</v>
      </c>
      <c r="K434" t="s">
        <v>24</v>
      </c>
      <c r="L434" t="s">
        <v>701</v>
      </c>
      <c r="M434" t="s">
        <v>75</v>
      </c>
      <c r="N434">
        <v>1</v>
      </c>
      <c r="O434">
        <v>1</v>
      </c>
      <c r="P434">
        <v>34</v>
      </c>
      <c r="Q434" t="s">
        <v>27</v>
      </c>
      <c r="R434">
        <f>IF(tblSubscriptions[[#This Row],[churned]] = "Yes",1,0)</f>
        <v>1</v>
      </c>
      <c r="S434">
        <f t="shared" si="30"/>
        <v>1</v>
      </c>
      <c r="T434">
        <f t="shared" si="31"/>
        <v>1</v>
      </c>
      <c r="U434">
        <f t="shared" si="32"/>
        <v>0</v>
      </c>
      <c r="V434">
        <f t="shared" si="33"/>
        <v>2</v>
      </c>
      <c r="W434" t="str">
        <f t="shared" si="34"/>
        <v>High Risk</v>
      </c>
    </row>
    <row r="435" spans="1:23">
      <c r="A435" t="s">
        <v>702</v>
      </c>
      <c r="B435" t="s">
        <v>33</v>
      </c>
      <c r="C435" t="s">
        <v>29</v>
      </c>
      <c r="D435" t="s">
        <v>40</v>
      </c>
      <c r="E435" t="s">
        <v>35</v>
      </c>
      <c r="F435">
        <v>222</v>
      </c>
      <c r="G435">
        <v>842</v>
      </c>
      <c r="H435" t="s">
        <v>48</v>
      </c>
      <c r="I435" t="s">
        <v>23</v>
      </c>
      <c r="J435" s="1">
        <v>44851</v>
      </c>
      <c r="K435" t="s">
        <v>24</v>
      </c>
      <c r="L435" t="s">
        <v>703</v>
      </c>
      <c r="M435" t="s">
        <v>52</v>
      </c>
      <c r="N435">
        <v>8</v>
      </c>
      <c r="O435">
        <v>2</v>
      </c>
      <c r="P435">
        <v>47</v>
      </c>
      <c r="Q435" t="s">
        <v>27</v>
      </c>
      <c r="R435">
        <f>IF(tblSubscriptions[[#This Row],[churned]] = "Yes",1,0)</f>
        <v>1</v>
      </c>
      <c r="S435">
        <f t="shared" si="30"/>
        <v>1</v>
      </c>
      <c r="T435">
        <f t="shared" si="31"/>
        <v>1</v>
      </c>
      <c r="U435">
        <f t="shared" si="32"/>
        <v>0</v>
      </c>
      <c r="V435">
        <f t="shared" si="33"/>
        <v>2</v>
      </c>
      <c r="W435" t="str">
        <f t="shared" si="34"/>
        <v>High Risk</v>
      </c>
    </row>
    <row r="436" spans="1:23">
      <c r="A436" t="s">
        <v>704</v>
      </c>
      <c r="B436" t="s">
        <v>33</v>
      </c>
      <c r="C436" t="s">
        <v>19</v>
      </c>
      <c r="D436" t="s">
        <v>20</v>
      </c>
      <c r="E436" t="s">
        <v>47</v>
      </c>
      <c r="F436">
        <v>4</v>
      </c>
      <c r="G436">
        <v>42</v>
      </c>
      <c r="H436" t="s">
        <v>48</v>
      </c>
      <c r="I436" t="s">
        <v>84</v>
      </c>
      <c r="J436" s="1">
        <v>44966</v>
      </c>
      <c r="K436" t="s">
        <v>24</v>
      </c>
      <c r="L436" t="s">
        <v>705</v>
      </c>
      <c r="M436" t="s">
        <v>52</v>
      </c>
      <c r="N436">
        <v>5</v>
      </c>
      <c r="O436">
        <v>3</v>
      </c>
      <c r="P436">
        <v>10</v>
      </c>
      <c r="Q436" t="s">
        <v>27</v>
      </c>
      <c r="R436">
        <f>IF(tblSubscriptions[[#This Row],[churned]] = "Yes",1,0)</f>
        <v>1</v>
      </c>
      <c r="S436">
        <f t="shared" si="30"/>
        <v>1</v>
      </c>
      <c r="T436">
        <f t="shared" si="31"/>
        <v>1</v>
      </c>
      <c r="U436">
        <f t="shared" si="32"/>
        <v>0</v>
      </c>
      <c r="V436">
        <f t="shared" si="33"/>
        <v>2</v>
      </c>
      <c r="W436" t="str">
        <f t="shared" si="34"/>
        <v>High Risk</v>
      </c>
    </row>
    <row r="437" spans="1:23">
      <c r="A437" t="s">
        <v>706</v>
      </c>
      <c r="B437" t="s">
        <v>39</v>
      </c>
      <c r="C437" t="s">
        <v>29</v>
      </c>
      <c r="D437" t="s">
        <v>34</v>
      </c>
      <c r="E437" t="s">
        <v>21</v>
      </c>
      <c r="F437">
        <v>48</v>
      </c>
      <c r="G437">
        <v>1362</v>
      </c>
      <c r="H437" t="s">
        <v>70</v>
      </c>
      <c r="I437" t="s">
        <v>84</v>
      </c>
      <c r="J437" s="1">
        <v>44906</v>
      </c>
      <c r="K437" t="s">
        <v>24</v>
      </c>
      <c r="L437" t="s">
        <v>707</v>
      </c>
      <c r="M437" t="s">
        <v>66</v>
      </c>
      <c r="N437">
        <v>7</v>
      </c>
      <c r="O437">
        <v>1</v>
      </c>
      <c r="P437">
        <v>28</v>
      </c>
      <c r="Q437" t="s">
        <v>27</v>
      </c>
      <c r="R437">
        <f>IF(tblSubscriptions[[#This Row],[churned]] = "Yes",1,0)</f>
        <v>1</v>
      </c>
      <c r="S437">
        <f t="shared" si="30"/>
        <v>1</v>
      </c>
      <c r="T437">
        <f t="shared" si="31"/>
        <v>1</v>
      </c>
      <c r="U437">
        <f t="shared" si="32"/>
        <v>0</v>
      </c>
      <c r="V437">
        <f t="shared" si="33"/>
        <v>2</v>
      </c>
      <c r="W437" t="str">
        <f t="shared" si="34"/>
        <v>High Risk</v>
      </c>
    </row>
    <row r="438" spans="1:23">
      <c r="A438" t="s">
        <v>708</v>
      </c>
      <c r="B438" t="s">
        <v>33</v>
      </c>
      <c r="C438" t="s">
        <v>19</v>
      </c>
      <c r="D438" t="s">
        <v>73</v>
      </c>
      <c r="E438" t="s">
        <v>41</v>
      </c>
      <c r="F438">
        <v>6</v>
      </c>
      <c r="G438">
        <v>51</v>
      </c>
      <c r="H438" t="s">
        <v>48</v>
      </c>
      <c r="I438" t="s">
        <v>64</v>
      </c>
      <c r="J438" s="1">
        <v>45026</v>
      </c>
      <c r="K438" t="s">
        <v>24</v>
      </c>
      <c r="L438" t="s">
        <v>709</v>
      </c>
      <c r="M438" t="s">
        <v>52</v>
      </c>
      <c r="N438">
        <v>5</v>
      </c>
      <c r="O438">
        <v>3</v>
      </c>
      <c r="P438">
        <v>18</v>
      </c>
      <c r="Q438" t="s">
        <v>27</v>
      </c>
      <c r="R438">
        <f>IF(tblSubscriptions[[#This Row],[churned]] = "Yes",1,0)</f>
        <v>1</v>
      </c>
      <c r="S438">
        <f t="shared" si="30"/>
        <v>1</v>
      </c>
      <c r="T438">
        <f t="shared" si="31"/>
        <v>1</v>
      </c>
      <c r="U438">
        <f t="shared" si="32"/>
        <v>0</v>
      </c>
      <c r="V438">
        <f t="shared" si="33"/>
        <v>2</v>
      </c>
      <c r="W438" t="str">
        <f t="shared" si="34"/>
        <v>High Risk</v>
      </c>
    </row>
    <row r="439" spans="1:23">
      <c r="A439" t="s">
        <v>710</v>
      </c>
      <c r="B439" t="s">
        <v>33</v>
      </c>
      <c r="C439" t="s">
        <v>29</v>
      </c>
      <c r="D439" t="s">
        <v>46</v>
      </c>
      <c r="E439" t="s">
        <v>21</v>
      </c>
      <c r="F439">
        <v>44</v>
      </c>
      <c r="G439">
        <v>184</v>
      </c>
      <c r="H439" t="s">
        <v>70</v>
      </c>
      <c r="I439" t="s">
        <v>42</v>
      </c>
      <c r="J439" s="1">
        <v>45597</v>
      </c>
      <c r="K439" t="s">
        <v>24</v>
      </c>
      <c r="L439" t="s">
        <v>711</v>
      </c>
      <c r="M439" t="s">
        <v>26</v>
      </c>
      <c r="N439">
        <v>5</v>
      </c>
      <c r="O439">
        <v>6</v>
      </c>
      <c r="P439">
        <v>31</v>
      </c>
      <c r="Q439" t="s">
        <v>27</v>
      </c>
      <c r="R439">
        <f>IF(tblSubscriptions[[#This Row],[churned]] = "Yes",1,0)</f>
        <v>1</v>
      </c>
      <c r="S439">
        <f t="shared" si="30"/>
        <v>1</v>
      </c>
      <c r="T439">
        <f t="shared" si="31"/>
        <v>1</v>
      </c>
      <c r="U439">
        <f t="shared" si="32"/>
        <v>0</v>
      </c>
      <c r="V439">
        <f t="shared" si="33"/>
        <v>2</v>
      </c>
      <c r="W439" t="str">
        <f t="shared" si="34"/>
        <v>High Risk</v>
      </c>
    </row>
    <row r="440" spans="1:23">
      <c r="A440" t="s">
        <v>712</v>
      </c>
      <c r="B440" t="s">
        <v>39</v>
      </c>
      <c r="C440" t="s">
        <v>19</v>
      </c>
      <c r="D440" t="s">
        <v>97</v>
      </c>
      <c r="E440" t="s">
        <v>35</v>
      </c>
      <c r="F440">
        <v>62</v>
      </c>
      <c r="G440">
        <v>2020</v>
      </c>
      <c r="H440" t="s">
        <v>30</v>
      </c>
      <c r="I440" t="s">
        <v>42</v>
      </c>
      <c r="J440" s="1">
        <v>45816</v>
      </c>
      <c r="K440" t="s">
        <v>24</v>
      </c>
      <c r="L440" t="s">
        <v>713</v>
      </c>
      <c r="M440" t="s">
        <v>66</v>
      </c>
      <c r="N440">
        <v>9</v>
      </c>
      <c r="O440">
        <v>4</v>
      </c>
      <c r="P440">
        <v>34</v>
      </c>
      <c r="Q440" t="s">
        <v>27</v>
      </c>
      <c r="R440">
        <f>IF(tblSubscriptions[[#This Row],[churned]] = "Yes",1,0)</f>
        <v>1</v>
      </c>
      <c r="S440">
        <f t="shared" si="30"/>
        <v>1</v>
      </c>
      <c r="T440">
        <f t="shared" si="31"/>
        <v>1</v>
      </c>
      <c r="U440">
        <f t="shared" si="32"/>
        <v>0</v>
      </c>
      <c r="V440">
        <f t="shared" si="33"/>
        <v>2</v>
      </c>
      <c r="W440" t="str">
        <f t="shared" si="34"/>
        <v>High Risk</v>
      </c>
    </row>
    <row r="441" spans="1:23">
      <c r="A441" t="s">
        <v>714</v>
      </c>
      <c r="B441" t="s">
        <v>39</v>
      </c>
      <c r="C441" t="s">
        <v>29</v>
      </c>
      <c r="D441" t="s">
        <v>60</v>
      </c>
      <c r="E441" t="s">
        <v>47</v>
      </c>
      <c r="F441">
        <v>8</v>
      </c>
      <c r="G441">
        <v>347</v>
      </c>
      <c r="H441" t="s">
        <v>48</v>
      </c>
      <c r="I441" t="s">
        <v>84</v>
      </c>
      <c r="J441" s="1">
        <v>45992</v>
      </c>
      <c r="K441" t="s">
        <v>27</v>
      </c>
      <c r="L441" t="s">
        <v>31</v>
      </c>
      <c r="M441" t="s">
        <v>31</v>
      </c>
      <c r="N441">
        <v>1</v>
      </c>
      <c r="O441">
        <v>10</v>
      </c>
      <c r="P441">
        <v>50</v>
      </c>
      <c r="Q441" t="s">
        <v>27</v>
      </c>
      <c r="R441">
        <f>IF(tblSubscriptions[[#This Row],[churned]] = "Yes",1,0)</f>
        <v>0</v>
      </c>
      <c r="S441">
        <f t="shared" si="30"/>
        <v>0</v>
      </c>
      <c r="T441">
        <f t="shared" si="31"/>
        <v>0</v>
      </c>
      <c r="U441">
        <f t="shared" si="32"/>
        <v>0</v>
      </c>
      <c r="V441">
        <f t="shared" si="33"/>
        <v>0</v>
      </c>
      <c r="W441" t="str">
        <f t="shared" si="34"/>
        <v>Low Risk</v>
      </c>
    </row>
    <row r="442" spans="1:23">
      <c r="A442" t="s">
        <v>715</v>
      </c>
      <c r="B442" t="s">
        <v>18</v>
      </c>
      <c r="C442" t="s">
        <v>29</v>
      </c>
      <c r="D442" t="s">
        <v>40</v>
      </c>
      <c r="E442" t="s">
        <v>50</v>
      </c>
      <c r="F442">
        <v>88</v>
      </c>
      <c r="G442">
        <v>943</v>
      </c>
      <c r="H442" t="s">
        <v>70</v>
      </c>
      <c r="I442" t="s">
        <v>23</v>
      </c>
      <c r="J442" s="1">
        <v>45151</v>
      </c>
      <c r="K442" t="s">
        <v>24</v>
      </c>
      <c r="L442" t="s">
        <v>189</v>
      </c>
      <c r="M442" t="s">
        <v>58</v>
      </c>
      <c r="N442">
        <v>8</v>
      </c>
      <c r="O442">
        <v>4</v>
      </c>
      <c r="P442">
        <v>44</v>
      </c>
      <c r="Q442" t="s">
        <v>27</v>
      </c>
      <c r="R442">
        <f>IF(tblSubscriptions[[#This Row],[churned]] = "Yes",1,0)</f>
        <v>1</v>
      </c>
      <c r="S442">
        <f t="shared" si="30"/>
        <v>1</v>
      </c>
      <c r="T442">
        <f t="shared" si="31"/>
        <v>1</v>
      </c>
      <c r="U442">
        <f t="shared" si="32"/>
        <v>0</v>
      </c>
      <c r="V442">
        <f t="shared" si="33"/>
        <v>2</v>
      </c>
      <c r="W442" t="str">
        <f t="shared" si="34"/>
        <v>High Risk</v>
      </c>
    </row>
    <row r="443" spans="1:23">
      <c r="A443" t="s">
        <v>716</v>
      </c>
      <c r="B443" t="s">
        <v>39</v>
      </c>
      <c r="C443" t="s">
        <v>29</v>
      </c>
      <c r="D443" t="s">
        <v>60</v>
      </c>
      <c r="E443" t="s">
        <v>21</v>
      </c>
      <c r="F443">
        <v>54</v>
      </c>
      <c r="G443">
        <v>1514</v>
      </c>
      <c r="H443" t="s">
        <v>70</v>
      </c>
      <c r="I443" t="s">
        <v>64</v>
      </c>
      <c r="J443" s="1">
        <v>45387</v>
      </c>
      <c r="K443" t="s">
        <v>27</v>
      </c>
      <c r="L443" t="s">
        <v>31</v>
      </c>
      <c r="M443" t="s">
        <v>31</v>
      </c>
      <c r="N443">
        <v>10</v>
      </c>
      <c r="O443">
        <v>10</v>
      </c>
      <c r="P443">
        <v>33</v>
      </c>
      <c r="Q443" t="s">
        <v>24</v>
      </c>
      <c r="R443">
        <f>IF(tblSubscriptions[[#This Row],[churned]] = "Yes",1,0)</f>
        <v>0</v>
      </c>
      <c r="S443">
        <f t="shared" si="30"/>
        <v>1</v>
      </c>
      <c r="T443">
        <f t="shared" si="31"/>
        <v>0</v>
      </c>
      <c r="U443">
        <f t="shared" si="32"/>
        <v>0</v>
      </c>
      <c r="V443">
        <f t="shared" si="33"/>
        <v>1</v>
      </c>
      <c r="W443" t="str">
        <f t="shared" si="34"/>
        <v>Medium Risk</v>
      </c>
    </row>
    <row r="444" spans="1:23">
      <c r="A444" t="s">
        <v>717</v>
      </c>
      <c r="B444" t="s">
        <v>18</v>
      </c>
      <c r="C444" t="s">
        <v>19</v>
      </c>
      <c r="D444" t="s">
        <v>83</v>
      </c>
      <c r="E444" t="s">
        <v>21</v>
      </c>
      <c r="F444">
        <v>58</v>
      </c>
      <c r="G444">
        <v>754</v>
      </c>
      <c r="H444" t="s">
        <v>22</v>
      </c>
      <c r="I444" t="s">
        <v>23</v>
      </c>
      <c r="J444" s="1">
        <v>45105</v>
      </c>
      <c r="K444" t="s">
        <v>27</v>
      </c>
      <c r="L444" t="s">
        <v>31</v>
      </c>
      <c r="M444" t="s">
        <v>31</v>
      </c>
      <c r="N444">
        <v>11</v>
      </c>
      <c r="O444">
        <v>5</v>
      </c>
      <c r="P444">
        <v>84</v>
      </c>
      <c r="Q444" t="s">
        <v>27</v>
      </c>
      <c r="R444">
        <f>IF(tblSubscriptions[[#This Row],[churned]] = "Yes",1,0)</f>
        <v>0</v>
      </c>
      <c r="S444">
        <f t="shared" si="30"/>
        <v>0</v>
      </c>
      <c r="T444">
        <f t="shared" si="31"/>
        <v>1</v>
      </c>
      <c r="U444">
        <f t="shared" si="32"/>
        <v>1</v>
      </c>
      <c r="V444">
        <f t="shared" si="33"/>
        <v>2</v>
      </c>
      <c r="W444" t="str">
        <f t="shared" si="34"/>
        <v>High Risk</v>
      </c>
    </row>
    <row r="445" spans="1:23">
      <c r="A445" t="s">
        <v>718</v>
      </c>
      <c r="B445" t="s">
        <v>39</v>
      </c>
      <c r="C445" t="s">
        <v>19</v>
      </c>
      <c r="D445" t="s">
        <v>73</v>
      </c>
      <c r="E445" t="s">
        <v>47</v>
      </c>
      <c r="F445">
        <v>5</v>
      </c>
      <c r="G445">
        <v>318</v>
      </c>
      <c r="H445" t="s">
        <v>22</v>
      </c>
      <c r="I445" t="s">
        <v>84</v>
      </c>
      <c r="J445" s="1">
        <v>45223</v>
      </c>
      <c r="K445" t="s">
        <v>27</v>
      </c>
      <c r="L445" t="s">
        <v>31</v>
      </c>
      <c r="M445" t="s">
        <v>31</v>
      </c>
      <c r="N445">
        <v>9</v>
      </c>
      <c r="O445">
        <v>9</v>
      </c>
      <c r="P445">
        <v>59</v>
      </c>
      <c r="Q445" t="s">
        <v>24</v>
      </c>
      <c r="R445">
        <f>IF(tblSubscriptions[[#This Row],[churned]] = "Yes",1,0)</f>
        <v>0</v>
      </c>
      <c r="S445">
        <f t="shared" si="30"/>
        <v>0</v>
      </c>
      <c r="T445">
        <f t="shared" si="31"/>
        <v>0</v>
      </c>
      <c r="U445">
        <f t="shared" si="32"/>
        <v>0</v>
      </c>
      <c r="V445">
        <f t="shared" si="33"/>
        <v>0</v>
      </c>
      <c r="W445" t="str">
        <f t="shared" si="34"/>
        <v>Low Risk</v>
      </c>
    </row>
    <row r="446" spans="1:23">
      <c r="A446" t="s">
        <v>719</v>
      </c>
      <c r="B446" t="s">
        <v>33</v>
      </c>
      <c r="C446" t="s">
        <v>19</v>
      </c>
      <c r="D446" t="s">
        <v>40</v>
      </c>
      <c r="E446" t="s">
        <v>35</v>
      </c>
      <c r="F446">
        <v>254</v>
      </c>
      <c r="G446">
        <v>1130</v>
      </c>
      <c r="H446" t="s">
        <v>48</v>
      </c>
      <c r="I446" t="s">
        <v>23</v>
      </c>
      <c r="J446" s="1">
        <v>45779</v>
      </c>
      <c r="K446" t="s">
        <v>27</v>
      </c>
      <c r="L446" t="s">
        <v>31</v>
      </c>
      <c r="M446" t="s">
        <v>31</v>
      </c>
      <c r="N446">
        <v>2</v>
      </c>
      <c r="O446">
        <v>7</v>
      </c>
      <c r="P446">
        <v>42</v>
      </c>
      <c r="Q446" t="s">
        <v>27</v>
      </c>
      <c r="R446">
        <f>IF(tblSubscriptions[[#This Row],[churned]] = "Yes",1,0)</f>
        <v>0</v>
      </c>
      <c r="S446">
        <f t="shared" si="30"/>
        <v>1</v>
      </c>
      <c r="T446">
        <f t="shared" si="31"/>
        <v>0</v>
      </c>
      <c r="U446">
        <f t="shared" si="32"/>
        <v>0</v>
      </c>
      <c r="V446">
        <f t="shared" si="33"/>
        <v>1</v>
      </c>
      <c r="W446" t="str">
        <f t="shared" si="34"/>
        <v>Medium Risk</v>
      </c>
    </row>
    <row r="447" spans="1:23">
      <c r="A447" t="s">
        <v>720</v>
      </c>
      <c r="B447" t="s">
        <v>39</v>
      </c>
      <c r="C447" t="s">
        <v>19</v>
      </c>
      <c r="D447" t="s">
        <v>46</v>
      </c>
      <c r="E447" t="s">
        <v>21</v>
      </c>
      <c r="F447">
        <v>30</v>
      </c>
      <c r="G447">
        <v>1065</v>
      </c>
      <c r="H447" t="s">
        <v>70</v>
      </c>
      <c r="I447" t="s">
        <v>42</v>
      </c>
      <c r="J447" s="1">
        <v>45072</v>
      </c>
      <c r="K447" t="s">
        <v>24</v>
      </c>
      <c r="L447" t="s">
        <v>553</v>
      </c>
      <c r="M447" t="s">
        <v>26</v>
      </c>
      <c r="N447">
        <v>10</v>
      </c>
      <c r="O447">
        <v>3</v>
      </c>
      <c r="P447">
        <v>44</v>
      </c>
      <c r="Q447" t="s">
        <v>27</v>
      </c>
      <c r="R447">
        <f>IF(tblSubscriptions[[#This Row],[churned]] = "Yes",1,0)</f>
        <v>1</v>
      </c>
      <c r="S447">
        <f t="shared" si="30"/>
        <v>1</v>
      </c>
      <c r="T447">
        <f t="shared" si="31"/>
        <v>1</v>
      </c>
      <c r="U447">
        <f t="shared" si="32"/>
        <v>0</v>
      </c>
      <c r="V447">
        <f t="shared" si="33"/>
        <v>2</v>
      </c>
      <c r="W447" t="str">
        <f t="shared" si="34"/>
        <v>High Risk</v>
      </c>
    </row>
    <row r="448" spans="1:23">
      <c r="A448" t="s">
        <v>721</v>
      </c>
      <c r="B448" t="s">
        <v>33</v>
      </c>
      <c r="C448" t="s">
        <v>19</v>
      </c>
      <c r="D448" t="s">
        <v>46</v>
      </c>
      <c r="E448" t="s">
        <v>47</v>
      </c>
      <c r="F448">
        <v>5</v>
      </c>
      <c r="G448">
        <v>46</v>
      </c>
      <c r="H448" t="s">
        <v>30</v>
      </c>
      <c r="I448" t="s">
        <v>64</v>
      </c>
      <c r="J448" s="1">
        <v>45216</v>
      </c>
      <c r="K448" t="s">
        <v>27</v>
      </c>
      <c r="L448" t="s">
        <v>31</v>
      </c>
      <c r="M448" t="s">
        <v>31</v>
      </c>
      <c r="N448">
        <v>0</v>
      </c>
      <c r="O448">
        <v>9</v>
      </c>
      <c r="P448">
        <v>46</v>
      </c>
      <c r="Q448" t="s">
        <v>27</v>
      </c>
      <c r="R448">
        <f>IF(tblSubscriptions[[#This Row],[churned]] = "Yes",1,0)</f>
        <v>0</v>
      </c>
      <c r="S448">
        <f t="shared" si="30"/>
        <v>1</v>
      </c>
      <c r="T448">
        <f t="shared" si="31"/>
        <v>0</v>
      </c>
      <c r="U448">
        <f t="shared" si="32"/>
        <v>0</v>
      </c>
      <c r="V448">
        <f t="shared" si="33"/>
        <v>1</v>
      </c>
      <c r="W448" t="str">
        <f t="shared" si="34"/>
        <v>Medium Risk</v>
      </c>
    </row>
    <row r="449" spans="1:23">
      <c r="A449" t="s">
        <v>722</v>
      </c>
      <c r="B449" t="s">
        <v>39</v>
      </c>
      <c r="C449" t="s">
        <v>19</v>
      </c>
      <c r="D449" t="s">
        <v>73</v>
      </c>
      <c r="E449" t="s">
        <v>41</v>
      </c>
      <c r="F449">
        <v>31</v>
      </c>
      <c r="G449">
        <v>1095</v>
      </c>
      <c r="H449" t="s">
        <v>70</v>
      </c>
      <c r="I449" t="s">
        <v>23</v>
      </c>
      <c r="J449" s="1">
        <v>45658</v>
      </c>
      <c r="K449" t="s">
        <v>27</v>
      </c>
      <c r="L449" t="s">
        <v>31</v>
      </c>
      <c r="M449" t="s">
        <v>31</v>
      </c>
      <c r="N449">
        <v>1</v>
      </c>
      <c r="O449">
        <v>9</v>
      </c>
      <c r="P449">
        <v>69</v>
      </c>
      <c r="Q449" t="s">
        <v>27</v>
      </c>
      <c r="R449">
        <f>IF(tblSubscriptions[[#This Row],[churned]] = "Yes",1,0)</f>
        <v>0</v>
      </c>
      <c r="S449">
        <f t="shared" si="30"/>
        <v>0</v>
      </c>
      <c r="T449">
        <f t="shared" si="31"/>
        <v>0</v>
      </c>
      <c r="U449">
        <f t="shared" si="32"/>
        <v>0</v>
      </c>
      <c r="V449">
        <f t="shared" si="33"/>
        <v>0</v>
      </c>
      <c r="W449" t="str">
        <f t="shared" si="34"/>
        <v>Low Risk</v>
      </c>
    </row>
    <row r="450" spans="1:23">
      <c r="A450" t="s">
        <v>723</v>
      </c>
      <c r="B450" t="s">
        <v>39</v>
      </c>
      <c r="C450" t="s">
        <v>19</v>
      </c>
      <c r="D450" t="s">
        <v>60</v>
      </c>
      <c r="E450" t="s">
        <v>35</v>
      </c>
      <c r="F450">
        <v>71</v>
      </c>
      <c r="G450">
        <v>2289</v>
      </c>
      <c r="H450" t="s">
        <v>70</v>
      </c>
      <c r="I450" t="s">
        <v>42</v>
      </c>
      <c r="J450" s="1">
        <v>45334</v>
      </c>
      <c r="K450" t="s">
        <v>24</v>
      </c>
      <c r="L450" t="s">
        <v>724</v>
      </c>
      <c r="M450" t="s">
        <v>75</v>
      </c>
      <c r="N450">
        <v>7</v>
      </c>
      <c r="O450">
        <v>2</v>
      </c>
      <c r="P450">
        <v>24</v>
      </c>
      <c r="Q450" t="s">
        <v>27</v>
      </c>
      <c r="R450">
        <f>IF(tblSubscriptions[[#This Row],[churned]] = "Yes",1,0)</f>
        <v>1</v>
      </c>
      <c r="S450">
        <f t="shared" ref="S450:S513" si="35">IF(P450&lt;50,1,0)</f>
        <v>1</v>
      </c>
      <c r="T450">
        <f t="shared" ref="T450:T513" si="36">IF(O450&lt;=6,1,0)</f>
        <v>1</v>
      </c>
      <c r="U450">
        <f t="shared" ref="U450:U513" si="37">IF(N450&gt;=11,1,0)</f>
        <v>0</v>
      </c>
      <c r="V450">
        <f t="shared" ref="V450:V513" si="38">S450+T450+U450</f>
        <v>2</v>
      </c>
      <c r="W450" t="str">
        <f t="shared" ref="W450:W513" si="39">IF(V450&gt;=2,"High Risk",IF(V450=1,"Medium Risk","Low Risk"))</f>
        <v>High Risk</v>
      </c>
    </row>
    <row r="451" spans="1:23">
      <c r="A451" t="s">
        <v>725</v>
      </c>
      <c r="B451" t="s">
        <v>18</v>
      </c>
      <c r="C451" t="s">
        <v>29</v>
      </c>
      <c r="D451" t="s">
        <v>20</v>
      </c>
      <c r="E451" t="s">
        <v>41</v>
      </c>
      <c r="F451">
        <v>8</v>
      </c>
      <c r="G451">
        <v>138</v>
      </c>
      <c r="H451" t="s">
        <v>36</v>
      </c>
      <c r="I451" t="s">
        <v>23</v>
      </c>
      <c r="J451" s="1">
        <v>46019</v>
      </c>
      <c r="K451" t="s">
        <v>27</v>
      </c>
      <c r="L451" t="s">
        <v>31</v>
      </c>
      <c r="M451" t="s">
        <v>31</v>
      </c>
      <c r="N451">
        <v>0</v>
      </c>
      <c r="O451">
        <v>8</v>
      </c>
      <c r="P451">
        <v>38</v>
      </c>
      <c r="Q451" t="s">
        <v>27</v>
      </c>
      <c r="R451">
        <f>IF(tblSubscriptions[[#This Row],[churned]] = "Yes",1,0)</f>
        <v>0</v>
      </c>
      <c r="S451">
        <f t="shared" si="35"/>
        <v>1</v>
      </c>
      <c r="T451">
        <f t="shared" si="36"/>
        <v>0</v>
      </c>
      <c r="U451">
        <f t="shared" si="37"/>
        <v>0</v>
      </c>
      <c r="V451">
        <f t="shared" si="38"/>
        <v>1</v>
      </c>
      <c r="W451" t="str">
        <f t="shared" si="39"/>
        <v>Medium Risk</v>
      </c>
    </row>
    <row r="452" spans="1:23">
      <c r="A452" t="s">
        <v>726</v>
      </c>
      <c r="B452" t="s">
        <v>39</v>
      </c>
      <c r="C452" t="s">
        <v>19</v>
      </c>
      <c r="D452" t="s">
        <v>83</v>
      </c>
      <c r="E452" t="s">
        <v>41</v>
      </c>
      <c r="F452">
        <v>27</v>
      </c>
      <c r="G452">
        <v>975</v>
      </c>
      <c r="H452" t="s">
        <v>36</v>
      </c>
      <c r="I452" t="s">
        <v>23</v>
      </c>
      <c r="J452" s="1">
        <v>44986</v>
      </c>
      <c r="K452" t="s">
        <v>27</v>
      </c>
      <c r="L452" t="s">
        <v>31</v>
      </c>
      <c r="M452" t="s">
        <v>31</v>
      </c>
      <c r="N452">
        <v>3</v>
      </c>
      <c r="O452">
        <v>4</v>
      </c>
      <c r="P452">
        <v>89</v>
      </c>
      <c r="Q452" t="s">
        <v>27</v>
      </c>
      <c r="R452">
        <f>IF(tblSubscriptions[[#This Row],[churned]] = "Yes",1,0)</f>
        <v>0</v>
      </c>
      <c r="S452">
        <f t="shared" si="35"/>
        <v>0</v>
      </c>
      <c r="T452">
        <f t="shared" si="36"/>
        <v>1</v>
      </c>
      <c r="U452">
        <f t="shared" si="37"/>
        <v>0</v>
      </c>
      <c r="V452">
        <f t="shared" si="38"/>
        <v>1</v>
      </c>
      <c r="W452" t="str">
        <f t="shared" si="39"/>
        <v>Medium Risk</v>
      </c>
    </row>
    <row r="453" spans="1:23">
      <c r="A453" t="s">
        <v>727</v>
      </c>
      <c r="B453" t="s">
        <v>18</v>
      </c>
      <c r="C453" t="s">
        <v>19</v>
      </c>
      <c r="D453" t="s">
        <v>46</v>
      </c>
      <c r="E453" t="s">
        <v>41</v>
      </c>
      <c r="F453">
        <v>12</v>
      </c>
      <c r="G453">
        <v>209</v>
      </c>
      <c r="H453" t="s">
        <v>70</v>
      </c>
      <c r="I453" t="s">
        <v>23</v>
      </c>
      <c r="J453" s="1">
        <v>45821</v>
      </c>
      <c r="K453" t="s">
        <v>27</v>
      </c>
      <c r="L453" t="s">
        <v>31</v>
      </c>
      <c r="M453" t="s">
        <v>31</v>
      </c>
      <c r="N453">
        <v>2</v>
      </c>
      <c r="O453">
        <v>7</v>
      </c>
      <c r="P453">
        <v>82</v>
      </c>
      <c r="Q453" t="s">
        <v>27</v>
      </c>
      <c r="R453">
        <f>IF(tblSubscriptions[[#This Row],[churned]] = "Yes",1,0)</f>
        <v>0</v>
      </c>
      <c r="S453">
        <f t="shared" si="35"/>
        <v>0</v>
      </c>
      <c r="T453">
        <f t="shared" si="36"/>
        <v>0</v>
      </c>
      <c r="U453">
        <f t="shared" si="37"/>
        <v>0</v>
      </c>
      <c r="V453">
        <f t="shared" si="38"/>
        <v>0</v>
      </c>
      <c r="W453" t="str">
        <f t="shared" si="39"/>
        <v>Low Risk</v>
      </c>
    </row>
    <row r="454" spans="1:23">
      <c r="A454" t="s">
        <v>728</v>
      </c>
      <c r="B454" t="s">
        <v>33</v>
      </c>
      <c r="C454" t="s">
        <v>19</v>
      </c>
      <c r="D454" t="s">
        <v>20</v>
      </c>
      <c r="E454" t="s">
        <v>47</v>
      </c>
      <c r="F454">
        <v>1</v>
      </c>
      <c r="G454">
        <v>29</v>
      </c>
      <c r="H454" t="s">
        <v>30</v>
      </c>
      <c r="I454" t="s">
        <v>84</v>
      </c>
      <c r="J454" s="1">
        <v>45193</v>
      </c>
      <c r="K454" t="s">
        <v>24</v>
      </c>
      <c r="L454" t="s">
        <v>729</v>
      </c>
      <c r="M454" t="s">
        <v>66</v>
      </c>
      <c r="N454">
        <v>2</v>
      </c>
      <c r="O454">
        <v>1</v>
      </c>
      <c r="P454">
        <v>27</v>
      </c>
      <c r="Q454" t="s">
        <v>27</v>
      </c>
      <c r="R454">
        <f>IF(tblSubscriptions[[#This Row],[churned]] = "Yes",1,0)</f>
        <v>1</v>
      </c>
      <c r="S454">
        <f t="shared" si="35"/>
        <v>1</v>
      </c>
      <c r="T454">
        <f t="shared" si="36"/>
        <v>1</v>
      </c>
      <c r="U454">
        <f t="shared" si="37"/>
        <v>0</v>
      </c>
      <c r="V454">
        <f t="shared" si="38"/>
        <v>2</v>
      </c>
      <c r="W454" t="str">
        <f t="shared" si="39"/>
        <v>High Risk</v>
      </c>
    </row>
    <row r="455" spans="1:23">
      <c r="A455" t="s">
        <v>730</v>
      </c>
      <c r="B455" t="s">
        <v>33</v>
      </c>
      <c r="C455" t="s">
        <v>19</v>
      </c>
      <c r="D455" t="s">
        <v>56</v>
      </c>
      <c r="E455" t="s">
        <v>47</v>
      </c>
      <c r="F455">
        <v>1</v>
      </c>
      <c r="G455">
        <v>29</v>
      </c>
      <c r="H455" t="s">
        <v>70</v>
      </c>
      <c r="I455" t="s">
        <v>42</v>
      </c>
      <c r="J455" s="1">
        <v>45847</v>
      </c>
      <c r="K455" t="s">
        <v>24</v>
      </c>
      <c r="L455" t="s">
        <v>731</v>
      </c>
      <c r="M455" t="s">
        <v>62</v>
      </c>
      <c r="N455">
        <v>12</v>
      </c>
      <c r="O455">
        <v>3</v>
      </c>
      <c r="P455">
        <v>49</v>
      </c>
      <c r="Q455" t="s">
        <v>27</v>
      </c>
      <c r="R455">
        <f>IF(tblSubscriptions[[#This Row],[churned]] = "Yes",1,0)</f>
        <v>1</v>
      </c>
      <c r="S455">
        <f t="shared" si="35"/>
        <v>1</v>
      </c>
      <c r="T455">
        <f t="shared" si="36"/>
        <v>1</v>
      </c>
      <c r="U455">
        <f t="shared" si="37"/>
        <v>1</v>
      </c>
      <c r="V455">
        <f t="shared" si="38"/>
        <v>3</v>
      </c>
      <c r="W455" t="str">
        <f t="shared" si="39"/>
        <v>High Risk</v>
      </c>
    </row>
    <row r="456" spans="1:23">
      <c r="A456" t="s">
        <v>732</v>
      </c>
      <c r="B456" t="s">
        <v>33</v>
      </c>
      <c r="C456" t="s">
        <v>19</v>
      </c>
      <c r="D456" t="s">
        <v>60</v>
      </c>
      <c r="E456" t="s">
        <v>41</v>
      </c>
      <c r="F456">
        <v>8</v>
      </c>
      <c r="G456">
        <v>59</v>
      </c>
      <c r="H456" t="s">
        <v>22</v>
      </c>
      <c r="I456" t="s">
        <v>42</v>
      </c>
      <c r="J456" s="1">
        <v>45900</v>
      </c>
      <c r="K456" t="s">
        <v>27</v>
      </c>
      <c r="L456" t="s">
        <v>31</v>
      </c>
      <c r="M456" t="s">
        <v>31</v>
      </c>
      <c r="N456">
        <v>4</v>
      </c>
      <c r="O456">
        <v>7</v>
      </c>
      <c r="P456">
        <v>34</v>
      </c>
      <c r="Q456" t="s">
        <v>27</v>
      </c>
      <c r="R456">
        <f>IF(tblSubscriptions[[#This Row],[churned]] = "Yes",1,0)</f>
        <v>0</v>
      </c>
      <c r="S456">
        <f t="shared" si="35"/>
        <v>1</v>
      </c>
      <c r="T456">
        <f t="shared" si="36"/>
        <v>0</v>
      </c>
      <c r="U456">
        <f t="shared" si="37"/>
        <v>0</v>
      </c>
      <c r="V456">
        <f t="shared" si="38"/>
        <v>1</v>
      </c>
      <c r="W456" t="str">
        <f t="shared" si="39"/>
        <v>Medium Risk</v>
      </c>
    </row>
    <row r="457" spans="1:23">
      <c r="A457" t="s">
        <v>733</v>
      </c>
      <c r="B457" t="s">
        <v>18</v>
      </c>
      <c r="C457" t="s">
        <v>29</v>
      </c>
      <c r="D457" t="s">
        <v>73</v>
      </c>
      <c r="E457" t="s">
        <v>47</v>
      </c>
      <c r="F457">
        <v>4</v>
      </c>
      <c r="G457">
        <v>97</v>
      </c>
      <c r="H457" t="s">
        <v>30</v>
      </c>
      <c r="I457" t="s">
        <v>23</v>
      </c>
      <c r="J457" s="1">
        <v>45063</v>
      </c>
      <c r="K457" t="s">
        <v>27</v>
      </c>
      <c r="L457" t="s">
        <v>31</v>
      </c>
      <c r="M457" t="s">
        <v>31</v>
      </c>
      <c r="N457">
        <v>6</v>
      </c>
      <c r="O457">
        <v>8</v>
      </c>
      <c r="P457">
        <v>53</v>
      </c>
      <c r="Q457" t="s">
        <v>27</v>
      </c>
      <c r="R457">
        <f>IF(tblSubscriptions[[#This Row],[churned]] = "Yes",1,0)</f>
        <v>0</v>
      </c>
      <c r="S457">
        <f t="shared" si="35"/>
        <v>0</v>
      </c>
      <c r="T457">
        <f t="shared" si="36"/>
        <v>0</v>
      </c>
      <c r="U457">
        <f t="shared" si="37"/>
        <v>0</v>
      </c>
      <c r="V457">
        <f t="shared" si="38"/>
        <v>0</v>
      </c>
      <c r="W457" t="str">
        <f t="shared" si="39"/>
        <v>Low Risk</v>
      </c>
    </row>
    <row r="458" spans="1:23">
      <c r="A458" t="s">
        <v>734</v>
      </c>
      <c r="B458" t="s">
        <v>18</v>
      </c>
      <c r="C458" t="s">
        <v>29</v>
      </c>
      <c r="D458" t="s">
        <v>83</v>
      </c>
      <c r="E458" t="s">
        <v>21</v>
      </c>
      <c r="F458">
        <v>39</v>
      </c>
      <c r="G458">
        <v>450</v>
      </c>
      <c r="H458" t="s">
        <v>30</v>
      </c>
      <c r="I458" t="s">
        <v>64</v>
      </c>
      <c r="J458" s="1">
        <v>45380</v>
      </c>
      <c r="K458" t="s">
        <v>27</v>
      </c>
      <c r="L458" t="s">
        <v>31</v>
      </c>
      <c r="M458" t="s">
        <v>31</v>
      </c>
      <c r="N458">
        <v>0</v>
      </c>
      <c r="O458">
        <v>5</v>
      </c>
      <c r="P458">
        <v>58</v>
      </c>
      <c r="Q458" t="s">
        <v>27</v>
      </c>
      <c r="R458">
        <f>IF(tblSubscriptions[[#This Row],[churned]] = "Yes",1,0)</f>
        <v>0</v>
      </c>
      <c r="S458">
        <f t="shared" si="35"/>
        <v>0</v>
      </c>
      <c r="T458">
        <f t="shared" si="36"/>
        <v>1</v>
      </c>
      <c r="U458">
        <f t="shared" si="37"/>
        <v>0</v>
      </c>
      <c r="V458">
        <f t="shared" si="38"/>
        <v>1</v>
      </c>
      <c r="W458" t="str">
        <f t="shared" si="39"/>
        <v>Medium Risk</v>
      </c>
    </row>
    <row r="459" spans="1:23">
      <c r="A459" t="s">
        <v>735</v>
      </c>
      <c r="B459" t="s">
        <v>39</v>
      </c>
      <c r="C459" t="s">
        <v>29</v>
      </c>
      <c r="D459" t="s">
        <v>44</v>
      </c>
      <c r="E459" t="s">
        <v>50</v>
      </c>
      <c r="F459">
        <v>73</v>
      </c>
      <c r="G459">
        <v>1996</v>
      </c>
      <c r="H459" t="s">
        <v>48</v>
      </c>
      <c r="I459" t="s">
        <v>23</v>
      </c>
      <c r="J459" s="1">
        <v>45749</v>
      </c>
      <c r="K459" t="s">
        <v>27</v>
      </c>
      <c r="L459" t="s">
        <v>31</v>
      </c>
      <c r="M459" t="s">
        <v>31</v>
      </c>
      <c r="N459">
        <v>12</v>
      </c>
      <c r="O459">
        <v>1</v>
      </c>
      <c r="P459">
        <v>15</v>
      </c>
      <c r="Q459" t="s">
        <v>24</v>
      </c>
      <c r="R459">
        <f>IF(tblSubscriptions[[#This Row],[churned]] = "Yes",1,0)</f>
        <v>0</v>
      </c>
      <c r="S459">
        <f t="shared" si="35"/>
        <v>1</v>
      </c>
      <c r="T459">
        <f t="shared" si="36"/>
        <v>1</v>
      </c>
      <c r="U459">
        <f t="shared" si="37"/>
        <v>1</v>
      </c>
      <c r="V459">
        <f t="shared" si="38"/>
        <v>3</v>
      </c>
      <c r="W459" t="str">
        <f t="shared" si="39"/>
        <v>High Risk</v>
      </c>
    </row>
    <row r="460" spans="1:23">
      <c r="A460" t="s">
        <v>736</v>
      </c>
      <c r="B460" t="s">
        <v>18</v>
      </c>
      <c r="C460" t="s">
        <v>19</v>
      </c>
      <c r="D460" t="s">
        <v>40</v>
      </c>
      <c r="E460" t="s">
        <v>41</v>
      </c>
      <c r="F460">
        <v>7</v>
      </c>
      <c r="G460">
        <v>150</v>
      </c>
      <c r="H460" t="s">
        <v>36</v>
      </c>
      <c r="I460" t="s">
        <v>23</v>
      </c>
      <c r="J460" s="1">
        <v>44915</v>
      </c>
      <c r="K460" t="s">
        <v>24</v>
      </c>
      <c r="L460" t="s">
        <v>737</v>
      </c>
      <c r="M460" t="s">
        <v>102</v>
      </c>
      <c r="N460">
        <v>5</v>
      </c>
      <c r="O460">
        <v>2</v>
      </c>
      <c r="P460">
        <v>12</v>
      </c>
      <c r="Q460" t="s">
        <v>27</v>
      </c>
      <c r="R460">
        <f>IF(tblSubscriptions[[#This Row],[churned]] = "Yes",1,0)</f>
        <v>1</v>
      </c>
      <c r="S460">
        <f t="shared" si="35"/>
        <v>1</v>
      </c>
      <c r="T460">
        <f t="shared" si="36"/>
        <v>1</v>
      </c>
      <c r="U460">
        <f t="shared" si="37"/>
        <v>0</v>
      </c>
      <c r="V460">
        <f t="shared" si="38"/>
        <v>2</v>
      </c>
      <c r="W460" t="str">
        <f t="shared" si="39"/>
        <v>High Risk</v>
      </c>
    </row>
    <row r="461" spans="1:23">
      <c r="A461" t="s">
        <v>738</v>
      </c>
      <c r="B461" t="s">
        <v>39</v>
      </c>
      <c r="C461" t="s">
        <v>29</v>
      </c>
      <c r="D461" t="s">
        <v>34</v>
      </c>
      <c r="E461" t="s">
        <v>41</v>
      </c>
      <c r="F461">
        <v>33</v>
      </c>
      <c r="G461">
        <v>981</v>
      </c>
      <c r="H461" t="s">
        <v>36</v>
      </c>
      <c r="I461" t="s">
        <v>64</v>
      </c>
      <c r="J461" s="1">
        <v>44964</v>
      </c>
      <c r="K461" t="s">
        <v>27</v>
      </c>
      <c r="L461" t="s">
        <v>31</v>
      </c>
      <c r="M461" t="s">
        <v>31</v>
      </c>
      <c r="N461">
        <v>1</v>
      </c>
      <c r="O461">
        <v>8</v>
      </c>
      <c r="P461">
        <v>89</v>
      </c>
      <c r="Q461" t="s">
        <v>27</v>
      </c>
      <c r="R461">
        <f>IF(tblSubscriptions[[#This Row],[churned]] = "Yes",1,0)</f>
        <v>0</v>
      </c>
      <c r="S461">
        <f t="shared" si="35"/>
        <v>0</v>
      </c>
      <c r="T461">
        <f t="shared" si="36"/>
        <v>0</v>
      </c>
      <c r="U461">
        <f t="shared" si="37"/>
        <v>0</v>
      </c>
      <c r="V461">
        <f t="shared" si="38"/>
        <v>0</v>
      </c>
      <c r="W461" t="str">
        <f t="shared" si="39"/>
        <v>Low Risk</v>
      </c>
    </row>
    <row r="462" spans="1:23">
      <c r="A462" t="s">
        <v>739</v>
      </c>
      <c r="B462" t="s">
        <v>33</v>
      </c>
      <c r="C462" t="s">
        <v>19</v>
      </c>
      <c r="D462" t="s">
        <v>73</v>
      </c>
      <c r="E462" t="s">
        <v>47</v>
      </c>
      <c r="F462">
        <v>3</v>
      </c>
      <c r="G462">
        <v>38</v>
      </c>
      <c r="H462" t="s">
        <v>36</v>
      </c>
      <c r="I462" t="s">
        <v>42</v>
      </c>
      <c r="J462" s="1">
        <v>45660</v>
      </c>
      <c r="K462" t="s">
        <v>27</v>
      </c>
      <c r="L462" t="s">
        <v>31</v>
      </c>
      <c r="M462" t="s">
        <v>31</v>
      </c>
      <c r="N462">
        <v>10</v>
      </c>
      <c r="O462">
        <v>7</v>
      </c>
      <c r="P462">
        <v>60</v>
      </c>
      <c r="Q462" t="s">
        <v>27</v>
      </c>
      <c r="R462">
        <f>IF(tblSubscriptions[[#This Row],[churned]] = "Yes",1,0)</f>
        <v>0</v>
      </c>
      <c r="S462">
        <f t="shared" si="35"/>
        <v>0</v>
      </c>
      <c r="T462">
        <f t="shared" si="36"/>
        <v>0</v>
      </c>
      <c r="U462">
        <f t="shared" si="37"/>
        <v>0</v>
      </c>
      <c r="V462">
        <f t="shared" si="38"/>
        <v>0</v>
      </c>
      <c r="W462" t="str">
        <f t="shared" si="39"/>
        <v>Low Risk</v>
      </c>
    </row>
    <row r="463" spans="1:23">
      <c r="A463" t="s">
        <v>740</v>
      </c>
      <c r="B463" t="s">
        <v>18</v>
      </c>
      <c r="C463" t="s">
        <v>29</v>
      </c>
      <c r="D463" t="s">
        <v>73</v>
      </c>
      <c r="E463" t="s">
        <v>47</v>
      </c>
      <c r="F463">
        <v>5</v>
      </c>
      <c r="G463">
        <v>107</v>
      </c>
      <c r="H463" t="s">
        <v>30</v>
      </c>
      <c r="I463" t="s">
        <v>42</v>
      </c>
      <c r="J463" s="1">
        <v>45817</v>
      </c>
      <c r="K463" t="s">
        <v>27</v>
      </c>
      <c r="L463" t="s">
        <v>31</v>
      </c>
      <c r="M463" t="s">
        <v>31</v>
      </c>
      <c r="N463">
        <v>2</v>
      </c>
      <c r="O463">
        <v>9</v>
      </c>
      <c r="P463">
        <v>82</v>
      </c>
      <c r="Q463" t="s">
        <v>27</v>
      </c>
      <c r="R463">
        <f>IF(tblSubscriptions[[#This Row],[churned]] = "Yes",1,0)</f>
        <v>0</v>
      </c>
      <c r="S463">
        <f t="shared" si="35"/>
        <v>0</v>
      </c>
      <c r="T463">
        <f t="shared" si="36"/>
        <v>0</v>
      </c>
      <c r="U463">
        <f t="shared" si="37"/>
        <v>0</v>
      </c>
      <c r="V463">
        <f t="shared" si="38"/>
        <v>0</v>
      </c>
      <c r="W463" t="str">
        <f t="shared" si="39"/>
        <v>Low Risk</v>
      </c>
    </row>
    <row r="464" spans="1:23">
      <c r="A464" t="s">
        <v>741</v>
      </c>
      <c r="B464" t="s">
        <v>18</v>
      </c>
      <c r="C464" t="s">
        <v>19</v>
      </c>
      <c r="D464" t="s">
        <v>73</v>
      </c>
      <c r="E464" t="s">
        <v>41</v>
      </c>
      <c r="F464">
        <v>5</v>
      </c>
      <c r="G464">
        <v>126</v>
      </c>
      <c r="H464" t="s">
        <v>124</v>
      </c>
      <c r="I464" t="s">
        <v>23</v>
      </c>
      <c r="J464" s="1">
        <v>44748</v>
      </c>
      <c r="K464" t="s">
        <v>24</v>
      </c>
      <c r="L464" t="s">
        <v>742</v>
      </c>
      <c r="M464" t="s">
        <v>75</v>
      </c>
      <c r="N464">
        <v>1</v>
      </c>
      <c r="O464">
        <v>2</v>
      </c>
      <c r="P464">
        <v>17</v>
      </c>
      <c r="Q464" t="s">
        <v>27</v>
      </c>
      <c r="R464">
        <f>IF(tblSubscriptions[[#This Row],[churned]] = "Yes",1,0)</f>
        <v>1</v>
      </c>
      <c r="S464">
        <f t="shared" si="35"/>
        <v>1</v>
      </c>
      <c r="T464">
        <f t="shared" si="36"/>
        <v>1</v>
      </c>
      <c r="U464">
        <f t="shared" si="37"/>
        <v>0</v>
      </c>
      <c r="V464">
        <f t="shared" si="38"/>
        <v>2</v>
      </c>
      <c r="W464" t="str">
        <f t="shared" si="39"/>
        <v>High Risk</v>
      </c>
    </row>
    <row r="465" spans="1:23">
      <c r="A465" t="s">
        <v>743</v>
      </c>
      <c r="B465" t="s">
        <v>33</v>
      </c>
      <c r="C465" t="s">
        <v>29</v>
      </c>
      <c r="D465" t="s">
        <v>40</v>
      </c>
      <c r="E465" t="s">
        <v>21</v>
      </c>
      <c r="F465">
        <v>59</v>
      </c>
      <c r="G465">
        <v>239</v>
      </c>
      <c r="H465" t="s">
        <v>70</v>
      </c>
      <c r="I465" t="s">
        <v>23</v>
      </c>
      <c r="J465" s="1">
        <v>45948</v>
      </c>
      <c r="K465" t="s">
        <v>27</v>
      </c>
      <c r="L465" t="s">
        <v>31</v>
      </c>
      <c r="M465" t="s">
        <v>31</v>
      </c>
      <c r="N465">
        <v>12</v>
      </c>
      <c r="O465">
        <v>9</v>
      </c>
      <c r="P465">
        <v>72</v>
      </c>
      <c r="Q465" t="s">
        <v>27</v>
      </c>
      <c r="R465">
        <f>IF(tblSubscriptions[[#This Row],[churned]] = "Yes",1,0)</f>
        <v>0</v>
      </c>
      <c r="S465">
        <f t="shared" si="35"/>
        <v>0</v>
      </c>
      <c r="T465">
        <f t="shared" si="36"/>
        <v>0</v>
      </c>
      <c r="U465">
        <f t="shared" si="37"/>
        <v>1</v>
      </c>
      <c r="V465">
        <f t="shared" si="38"/>
        <v>1</v>
      </c>
      <c r="W465" t="str">
        <f t="shared" si="39"/>
        <v>Medium Risk</v>
      </c>
    </row>
    <row r="466" spans="1:23">
      <c r="A466" t="s">
        <v>744</v>
      </c>
      <c r="B466" t="s">
        <v>18</v>
      </c>
      <c r="C466" t="s">
        <v>19</v>
      </c>
      <c r="D466" t="s">
        <v>73</v>
      </c>
      <c r="E466" t="s">
        <v>47</v>
      </c>
      <c r="F466">
        <v>1</v>
      </c>
      <c r="G466">
        <v>79</v>
      </c>
      <c r="H466" t="s">
        <v>30</v>
      </c>
      <c r="I466" t="s">
        <v>42</v>
      </c>
      <c r="J466" s="1">
        <v>46015</v>
      </c>
      <c r="K466" t="s">
        <v>27</v>
      </c>
      <c r="L466" t="s">
        <v>31</v>
      </c>
      <c r="M466" t="s">
        <v>31</v>
      </c>
      <c r="N466">
        <v>11</v>
      </c>
      <c r="O466">
        <v>5</v>
      </c>
      <c r="P466">
        <v>84</v>
      </c>
      <c r="Q466" t="s">
        <v>27</v>
      </c>
      <c r="R466">
        <f>IF(tblSubscriptions[[#This Row],[churned]] = "Yes",1,0)</f>
        <v>0</v>
      </c>
      <c r="S466">
        <f t="shared" si="35"/>
        <v>0</v>
      </c>
      <c r="T466">
        <f t="shared" si="36"/>
        <v>1</v>
      </c>
      <c r="U466">
        <f t="shared" si="37"/>
        <v>1</v>
      </c>
      <c r="V466">
        <f t="shared" si="38"/>
        <v>2</v>
      </c>
      <c r="W466" t="str">
        <f t="shared" si="39"/>
        <v>High Risk</v>
      </c>
    </row>
    <row r="467" spans="1:23">
      <c r="A467" t="s">
        <v>745</v>
      </c>
      <c r="B467" t="s">
        <v>39</v>
      </c>
      <c r="C467" t="s">
        <v>29</v>
      </c>
      <c r="D467" t="s">
        <v>34</v>
      </c>
      <c r="E467" t="s">
        <v>21</v>
      </c>
      <c r="F467">
        <v>35</v>
      </c>
      <c r="G467">
        <v>1032</v>
      </c>
      <c r="H467" t="s">
        <v>70</v>
      </c>
      <c r="I467" t="s">
        <v>42</v>
      </c>
      <c r="J467" s="1">
        <v>45409</v>
      </c>
      <c r="K467" t="s">
        <v>27</v>
      </c>
      <c r="L467" t="s">
        <v>31</v>
      </c>
      <c r="M467" t="s">
        <v>31</v>
      </c>
      <c r="N467">
        <v>4</v>
      </c>
      <c r="O467">
        <v>8</v>
      </c>
      <c r="P467">
        <v>41</v>
      </c>
      <c r="Q467" t="s">
        <v>27</v>
      </c>
      <c r="R467">
        <f>IF(tblSubscriptions[[#This Row],[churned]] = "Yes",1,0)</f>
        <v>0</v>
      </c>
      <c r="S467">
        <f t="shared" si="35"/>
        <v>1</v>
      </c>
      <c r="T467">
        <f t="shared" si="36"/>
        <v>0</v>
      </c>
      <c r="U467">
        <f t="shared" si="37"/>
        <v>0</v>
      </c>
      <c r="V467">
        <f t="shared" si="38"/>
        <v>1</v>
      </c>
      <c r="W467" t="str">
        <f t="shared" si="39"/>
        <v>Medium Risk</v>
      </c>
    </row>
    <row r="468" spans="1:23">
      <c r="A468" t="s">
        <v>746</v>
      </c>
      <c r="B468" t="s">
        <v>33</v>
      </c>
      <c r="C468" t="s">
        <v>29</v>
      </c>
      <c r="D468" t="s">
        <v>60</v>
      </c>
      <c r="E468" t="s">
        <v>50</v>
      </c>
      <c r="F468">
        <v>112</v>
      </c>
      <c r="G468">
        <v>435</v>
      </c>
      <c r="H468" t="s">
        <v>48</v>
      </c>
      <c r="I468" t="s">
        <v>84</v>
      </c>
      <c r="J468" s="1">
        <v>44861</v>
      </c>
      <c r="K468" t="s">
        <v>24</v>
      </c>
      <c r="L468" t="s">
        <v>665</v>
      </c>
      <c r="M468" t="s">
        <v>58</v>
      </c>
      <c r="N468">
        <v>12</v>
      </c>
      <c r="O468">
        <v>1</v>
      </c>
      <c r="P468">
        <v>34</v>
      </c>
      <c r="Q468" t="s">
        <v>27</v>
      </c>
      <c r="R468">
        <f>IF(tblSubscriptions[[#This Row],[churned]] = "Yes",1,0)</f>
        <v>1</v>
      </c>
      <c r="S468">
        <f t="shared" si="35"/>
        <v>1</v>
      </c>
      <c r="T468">
        <f t="shared" si="36"/>
        <v>1</v>
      </c>
      <c r="U468">
        <f t="shared" si="37"/>
        <v>1</v>
      </c>
      <c r="V468">
        <f t="shared" si="38"/>
        <v>3</v>
      </c>
      <c r="W468" t="str">
        <f t="shared" si="39"/>
        <v>High Risk</v>
      </c>
    </row>
    <row r="469" spans="1:23">
      <c r="A469" t="s">
        <v>747</v>
      </c>
      <c r="B469" t="s">
        <v>87</v>
      </c>
      <c r="C469" t="s">
        <v>29</v>
      </c>
      <c r="D469" t="s">
        <v>46</v>
      </c>
      <c r="E469" t="s">
        <v>41</v>
      </c>
      <c r="F469">
        <v>10</v>
      </c>
      <c r="G469">
        <v>997</v>
      </c>
      <c r="H469" t="s">
        <v>48</v>
      </c>
      <c r="I469" t="s">
        <v>23</v>
      </c>
      <c r="J469" s="1">
        <v>45424</v>
      </c>
      <c r="K469" t="s">
        <v>27</v>
      </c>
      <c r="L469" t="s">
        <v>31</v>
      </c>
      <c r="M469" t="s">
        <v>31</v>
      </c>
      <c r="N469">
        <v>3</v>
      </c>
      <c r="O469">
        <v>1</v>
      </c>
      <c r="P469">
        <v>64</v>
      </c>
      <c r="Q469" t="s">
        <v>27</v>
      </c>
      <c r="R469">
        <f>IF(tblSubscriptions[[#This Row],[churned]] = "Yes",1,0)</f>
        <v>0</v>
      </c>
      <c r="S469">
        <f t="shared" si="35"/>
        <v>0</v>
      </c>
      <c r="T469">
        <f t="shared" si="36"/>
        <v>1</v>
      </c>
      <c r="U469">
        <f t="shared" si="37"/>
        <v>0</v>
      </c>
      <c r="V469">
        <f t="shared" si="38"/>
        <v>1</v>
      </c>
      <c r="W469" t="str">
        <f t="shared" si="39"/>
        <v>Medium Risk</v>
      </c>
    </row>
    <row r="470" spans="1:23">
      <c r="A470" t="s">
        <v>748</v>
      </c>
      <c r="B470" t="s">
        <v>39</v>
      </c>
      <c r="C470" t="s">
        <v>29</v>
      </c>
      <c r="D470" t="s">
        <v>56</v>
      </c>
      <c r="E470" t="s">
        <v>47</v>
      </c>
      <c r="F470">
        <v>3</v>
      </c>
      <c r="G470">
        <v>220</v>
      </c>
      <c r="H470" t="s">
        <v>70</v>
      </c>
      <c r="I470" t="s">
        <v>42</v>
      </c>
      <c r="J470" s="1">
        <v>46010</v>
      </c>
      <c r="K470" t="s">
        <v>27</v>
      </c>
      <c r="L470" t="s">
        <v>31</v>
      </c>
      <c r="M470" t="s">
        <v>31</v>
      </c>
      <c r="N470">
        <v>8</v>
      </c>
      <c r="O470">
        <v>2</v>
      </c>
      <c r="P470">
        <v>45</v>
      </c>
      <c r="Q470" t="s">
        <v>27</v>
      </c>
      <c r="R470">
        <f>IF(tblSubscriptions[[#This Row],[churned]] = "Yes",1,0)</f>
        <v>0</v>
      </c>
      <c r="S470">
        <f t="shared" si="35"/>
        <v>1</v>
      </c>
      <c r="T470">
        <f t="shared" si="36"/>
        <v>1</v>
      </c>
      <c r="U470">
        <f t="shared" si="37"/>
        <v>0</v>
      </c>
      <c r="V470">
        <f t="shared" si="38"/>
        <v>2</v>
      </c>
      <c r="W470" t="str">
        <f t="shared" si="39"/>
        <v>High Risk</v>
      </c>
    </row>
    <row r="471" spans="1:23">
      <c r="A471" t="s">
        <v>749</v>
      </c>
      <c r="B471" t="s">
        <v>18</v>
      </c>
      <c r="C471" t="s">
        <v>19</v>
      </c>
      <c r="D471" t="s">
        <v>40</v>
      </c>
      <c r="E471" t="s">
        <v>47</v>
      </c>
      <c r="F471">
        <v>5</v>
      </c>
      <c r="G471">
        <v>126</v>
      </c>
      <c r="H471" t="s">
        <v>30</v>
      </c>
      <c r="I471" t="s">
        <v>23</v>
      </c>
      <c r="J471" s="1">
        <v>45577</v>
      </c>
      <c r="K471" t="s">
        <v>24</v>
      </c>
      <c r="L471" t="s">
        <v>750</v>
      </c>
      <c r="M471" t="s">
        <v>62</v>
      </c>
      <c r="N471">
        <v>4</v>
      </c>
      <c r="O471">
        <v>1</v>
      </c>
      <c r="P471">
        <v>21</v>
      </c>
      <c r="Q471" t="s">
        <v>27</v>
      </c>
      <c r="R471">
        <f>IF(tblSubscriptions[[#This Row],[churned]] = "Yes",1,0)</f>
        <v>1</v>
      </c>
      <c r="S471">
        <f t="shared" si="35"/>
        <v>1</v>
      </c>
      <c r="T471">
        <f t="shared" si="36"/>
        <v>1</v>
      </c>
      <c r="U471">
        <f t="shared" si="37"/>
        <v>0</v>
      </c>
      <c r="V471">
        <f t="shared" si="38"/>
        <v>2</v>
      </c>
      <c r="W471" t="str">
        <f t="shared" si="39"/>
        <v>High Risk</v>
      </c>
    </row>
    <row r="472" spans="1:23">
      <c r="A472" t="s">
        <v>751</v>
      </c>
      <c r="B472" t="s">
        <v>39</v>
      </c>
      <c r="C472" t="s">
        <v>29</v>
      </c>
      <c r="D472" t="s">
        <v>40</v>
      </c>
      <c r="E472" t="s">
        <v>21</v>
      </c>
      <c r="F472">
        <v>62</v>
      </c>
      <c r="G472">
        <v>1717</v>
      </c>
      <c r="H472" t="s">
        <v>70</v>
      </c>
      <c r="I472" t="s">
        <v>23</v>
      </c>
      <c r="J472" s="1">
        <v>45191</v>
      </c>
      <c r="K472" t="s">
        <v>24</v>
      </c>
      <c r="L472" t="s">
        <v>752</v>
      </c>
      <c r="M472" t="s">
        <v>75</v>
      </c>
      <c r="N472">
        <v>10</v>
      </c>
      <c r="O472">
        <v>4</v>
      </c>
      <c r="P472">
        <v>28</v>
      </c>
      <c r="Q472" t="s">
        <v>27</v>
      </c>
      <c r="R472">
        <f>IF(tblSubscriptions[[#This Row],[churned]] = "Yes",1,0)</f>
        <v>1</v>
      </c>
      <c r="S472">
        <f t="shared" si="35"/>
        <v>1</v>
      </c>
      <c r="T472">
        <f t="shared" si="36"/>
        <v>1</v>
      </c>
      <c r="U472">
        <f t="shared" si="37"/>
        <v>0</v>
      </c>
      <c r="V472">
        <f t="shared" si="38"/>
        <v>2</v>
      </c>
      <c r="W472" t="str">
        <f t="shared" si="39"/>
        <v>High Risk</v>
      </c>
    </row>
    <row r="473" spans="1:23">
      <c r="A473" t="s">
        <v>753</v>
      </c>
      <c r="B473" t="s">
        <v>33</v>
      </c>
      <c r="C473" t="s">
        <v>29</v>
      </c>
      <c r="D473" t="s">
        <v>40</v>
      </c>
      <c r="E473" t="s">
        <v>41</v>
      </c>
      <c r="F473">
        <v>5</v>
      </c>
      <c r="G473">
        <v>39</v>
      </c>
      <c r="H473" t="s">
        <v>36</v>
      </c>
      <c r="I473" t="s">
        <v>64</v>
      </c>
      <c r="J473" s="1">
        <v>44804</v>
      </c>
      <c r="K473" t="s">
        <v>24</v>
      </c>
      <c r="L473" t="s">
        <v>754</v>
      </c>
      <c r="M473" t="s">
        <v>52</v>
      </c>
      <c r="N473">
        <v>12</v>
      </c>
      <c r="O473">
        <v>1</v>
      </c>
      <c r="P473">
        <v>44</v>
      </c>
      <c r="Q473" t="s">
        <v>27</v>
      </c>
      <c r="R473">
        <f>IF(tblSubscriptions[[#This Row],[churned]] = "Yes",1,0)</f>
        <v>1</v>
      </c>
      <c r="S473">
        <f t="shared" si="35"/>
        <v>1</v>
      </c>
      <c r="T473">
        <f t="shared" si="36"/>
        <v>1</v>
      </c>
      <c r="U473">
        <f t="shared" si="37"/>
        <v>1</v>
      </c>
      <c r="V473">
        <f t="shared" si="38"/>
        <v>3</v>
      </c>
      <c r="W473" t="str">
        <f t="shared" si="39"/>
        <v>High Risk</v>
      </c>
    </row>
    <row r="474" spans="1:23">
      <c r="A474" t="s">
        <v>755</v>
      </c>
      <c r="B474" t="s">
        <v>33</v>
      </c>
      <c r="C474" t="s">
        <v>19</v>
      </c>
      <c r="D474" t="s">
        <v>34</v>
      </c>
      <c r="E474" t="s">
        <v>21</v>
      </c>
      <c r="F474">
        <v>48</v>
      </c>
      <c r="G474">
        <v>233</v>
      </c>
      <c r="H474" t="s">
        <v>30</v>
      </c>
      <c r="I474" t="s">
        <v>23</v>
      </c>
      <c r="J474" s="1">
        <v>45842</v>
      </c>
      <c r="K474" t="s">
        <v>27</v>
      </c>
      <c r="L474" t="s">
        <v>31</v>
      </c>
      <c r="M474" t="s">
        <v>31</v>
      </c>
      <c r="N474">
        <v>0</v>
      </c>
      <c r="O474">
        <v>7</v>
      </c>
      <c r="P474">
        <v>40</v>
      </c>
      <c r="Q474" t="s">
        <v>27</v>
      </c>
      <c r="R474">
        <f>IF(tblSubscriptions[[#This Row],[churned]] = "Yes",1,0)</f>
        <v>0</v>
      </c>
      <c r="S474">
        <f t="shared" si="35"/>
        <v>1</v>
      </c>
      <c r="T474">
        <f t="shared" si="36"/>
        <v>0</v>
      </c>
      <c r="U474">
        <f t="shared" si="37"/>
        <v>0</v>
      </c>
      <c r="V474">
        <f t="shared" si="38"/>
        <v>1</v>
      </c>
      <c r="W474" t="str">
        <f t="shared" si="39"/>
        <v>Medium Risk</v>
      </c>
    </row>
    <row r="475" spans="1:23">
      <c r="A475" t="s">
        <v>756</v>
      </c>
      <c r="B475" t="s">
        <v>18</v>
      </c>
      <c r="C475" t="s">
        <v>29</v>
      </c>
      <c r="D475" t="s">
        <v>40</v>
      </c>
      <c r="E475" t="s">
        <v>41</v>
      </c>
      <c r="F475">
        <v>7</v>
      </c>
      <c r="G475">
        <v>128</v>
      </c>
      <c r="H475" t="s">
        <v>48</v>
      </c>
      <c r="I475" t="s">
        <v>42</v>
      </c>
      <c r="J475" s="1">
        <v>44880</v>
      </c>
      <c r="K475" t="s">
        <v>24</v>
      </c>
      <c r="L475" t="s">
        <v>757</v>
      </c>
      <c r="M475" t="s">
        <v>102</v>
      </c>
      <c r="N475">
        <v>1</v>
      </c>
      <c r="O475">
        <v>5</v>
      </c>
      <c r="P475">
        <v>45</v>
      </c>
      <c r="Q475" t="s">
        <v>27</v>
      </c>
      <c r="R475">
        <f>IF(tblSubscriptions[[#This Row],[churned]] = "Yes",1,0)</f>
        <v>1</v>
      </c>
      <c r="S475">
        <f t="shared" si="35"/>
        <v>1</v>
      </c>
      <c r="T475">
        <f t="shared" si="36"/>
        <v>1</v>
      </c>
      <c r="U475">
        <f t="shared" si="37"/>
        <v>0</v>
      </c>
      <c r="V475">
        <f t="shared" si="38"/>
        <v>2</v>
      </c>
      <c r="W475" t="str">
        <f t="shared" si="39"/>
        <v>High Risk</v>
      </c>
    </row>
    <row r="476" spans="1:23">
      <c r="A476" t="s">
        <v>758</v>
      </c>
      <c r="B476" t="s">
        <v>18</v>
      </c>
      <c r="C476" t="s">
        <v>29</v>
      </c>
      <c r="D476" t="s">
        <v>40</v>
      </c>
      <c r="E476" t="s">
        <v>47</v>
      </c>
      <c r="F476">
        <v>1</v>
      </c>
      <c r="G476">
        <v>67</v>
      </c>
      <c r="H476" t="s">
        <v>70</v>
      </c>
      <c r="I476" t="s">
        <v>23</v>
      </c>
      <c r="J476" s="1">
        <v>46019</v>
      </c>
      <c r="K476" t="s">
        <v>27</v>
      </c>
      <c r="L476" t="s">
        <v>31</v>
      </c>
      <c r="M476" t="s">
        <v>31</v>
      </c>
      <c r="N476">
        <v>11</v>
      </c>
      <c r="O476">
        <v>6</v>
      </c>
      <c r="P476">
        <v>30</v>
      </c>
      <c r="Q476" t="s">
        <v>27</v>
      </c>
      <c r="R476">
        <f>IF(tblSubscriptions[[#This Row],[churned]] = "Yes",1,0)</f>
        <v>0</v>
      </c>
      <c r="S476">
        <f t="shared" si="35"/>
        <v>1</v>
      </c>
      <c r="T476">
        <f t="shared" si="36"/>
        <v>1</v>
      </c>
      <c r="U476">
        <f t="shared" si="37"/>
        <v>1</v>
      </c>
      <c r="V476">
        <f t="shared" si="38"/>
        <v>3</v>
      </c>
      <c r="W476" t="str">
        <f t="shared" si="39"/>
        <v>High Risk</v>
      </c>
    </row>
    <row r="477" spans="1:23">
      <c r="A477" t="s">
        <v>759</v>
      </c>
      <c r="B477" t="s">
        <v>18</v>
      </c>
      <c r="C477" t="s">
        <v>29</v>
      </c>
      <c r="D477" t="s">
        <v>40</v>
      </c>
      <c r="E477" t="s">
        <v>47</v>
      </c>
      <c r="F477">
        <v>2</v>
      </c>
      <c r="G477">
        <v>77</v>
      </c>
      <c r="H477" t="s">
        <v>22</v>
      </c>
      <c r="I477" t="s">
        <v>84</v>
      </c>
      <c r="J477" s="1">
        <v>45822</v>
      </c>
      <c r="K477" t="s">
        <v>27</v>
      </c>
      <c r="L477" t="s">
        <v>31</v>
      </c>
      <c r="M477" t="s">
        <v>31</v>
      </c>
      <c r="N477">
        <v>1</v>
      </c>
      <c r="O477">
        <v>3</v>
      </c>
      <c r="P477">
        <v>15</v>
      </c>
      <c r="Q477" t="s">
        <v>27</v>
      </c>
      <c r="R477">
        <f>IF(tblSubscriptions[[#This Row],[churned]] = "Yes",1,0)</f>
        <v>0</v>
      </c>
      <c r="S477">
        <f t="shared" si="35"/>
        <v>1</v>
      </c>
      <c r="T477">
        <f t="shared" si="36"/>
        <v>1</v>
      </c>
      <c r="U477">
        <f t="shared" si="37"/>
        <v>0</v>
      </c>
      <c r="V477">
        <f t="shared" si="38"/>
        <v>2</v>
      </c>
      <c r="W477" t="str">
        <f t="shared" si="39"/>
        <v>High Risk</v>
      </c>
    </row>
    <row r="478" spans="1:23">
      <c r="A478" t="s">
        <v>760</v>
      </c>
      <c r="B478" t="s">
        <v>18</v>
      </c>
      <c r="C478" t="s">
        <v>19</v>
      </c>
      <c r="D478" t="s">
        <v>46</v>
      </c>
      <c r="E478" t="s">
        <v>21</v>
      </c>
      <c r="F478">
        <v>67</v>
      </c>
      <c r="G478">
        <v>861</v>
      </c>
      <c r="H478" t="s">
        <v>30</v>
      </c>
      <c r="I478" t="s">
        <v>64</v>
      </c>
      <c r="J478" s="1">
        <v>45822</v>
      </c>
      <c r="K478" t="s">
        <v>27</v>
      </c>
      <c r="L478" t="s">
        <v>31</v>
      </c>
      <c r="M478" t="s">
        <v>31</v>
      </c>
      <c r="N478">
        <v>11</v>
      </c>
      <c r="O478">
        <v>8</v>
      </c>
      <c r="P478">
        <v>76</v>
      </c>
      <c r="Q478" t="s">
        <v>27</v>
      </c>
      <c r="R478">
        <f>IF(tblSubscriptions[[#This Row],[churned]] = "Yes",1,0)</f>
        <v>0</v>
      </c>
      <c r="S478">
        <f t="shared" si="35"/>
        <v>0</v>
      </c>
      <c r="T478">
        <f t="shared" si="36"/>
        <v>0</v>
      </c>
      <c r="U478">
        <f t="shared" si="37"/>
        <v>1</v>
      </c>
      <c r="V478">
        <f t="shared" si="38"/>
        <v>1</v>
      </c>
      <c r="W478" t="str">
        <f t="shared" si="39"/>
        <v>Medium Risk</v>
      </c>
    </row>
    <row r="479" spans="1:23">
      <c r="A479" t="s">
        <v>761</v>
      </c>
      <c r="B479" t="s">
        <v>39</v>
      </c>
      <c r="C479" t="s">
        <v>19</v>
      </c>
      <c r="D479" t="s">
        <v>20</v>
      </c>
      <c r="E479" t="s">
        <v>47</v>
      </c>
      <c r="F479">
        <v>3</v>
      </c>
      <c r="G479">
        <v>259</v>
      </c>
      <c r="H479" t="s">
        <v>70</v>
      </c>
      <c r="I479" t="s">
        <v>42</v>
      </c>
      <c r="J479" s="1">
        <v>44609</v>
      </c>
      <c r="K479" t="s">
        <v>24</v>
      </c>
      <c r="L479" t="s">
        <v>762</v>
      </c>
      <c r="M479" t="s">
        <v>52</v>
      </c>
      <c r="N479">
        <v>1</v>
      </c>
      <c r="O479">
        <v>1</v>
      </c>
      <c r="P479">
        <v>11</v>
      </c>
      <c r="Q479" t="s">
        <v>27</v>
      </c>
      <c r="R479">
        <f>IF(tblSubscriptions[[#This Row],[churned]] = "Yes",1,0)</f>
        <v>1</v>
      </c>
      <c r="S479">
        <f t="shared" si="35"/>
        <v>1</v>
      </c>
      <c r="T479">
        <f t="shared" si="36"/>
        <v>1</v>
      </c>
      <c r="U479">
        <f t="shared" si="37"/>
        <v>0</v>
      </c>
      <c r="V479">
        <f t="shared" si="38"/>
        <v>2</v>
      </c>
      <c r="W479" t="str">
        <f t="shared" si="39"/>
        <v>High Risk</v>
      </c>
    </row>
    <row r="480" spans="1:23">
      <c r="A480" t="s">
        <v>763</v>
      </c>
      <c r="B480" t="s">
        <v>33</v>
      </c>
      <c r="C480" t="s">
        <v>19</v>
      </c>
      <c r="D480" t="s">
        <v>60</v>
      </c>
      <c r="E480" t="s">
        <v>41</v>
      </c>
      <c r="F480">
        <v>10</v>
      </c>
      <c r="G480">
        <v>68</v>
      </c>
      <c r="H480" t="s">
        <v>70</v>
      </c>
      <c r="I480" t="s">
        <v>23</v>
      </c>
      <c r="J480" s="1">
        <v>45236</v>
      </c>
      <c r="K480" t="s">
        <v>24</v>
      </c>
      <c r="L480" t="s">
        <v>764</v>
      </c>
      <c r="M480" t="s">
        <v>102</v>
      </c>
      <c r="N480">
        <v>2</v>
      </c>
      <c r="O480">
        <v>1</v>
      </c>
      <c r="P480">
        <v>21</v>
      </c>
      <c r="Q480" t="s">
        <v>27</v>
      </c>
      <c r="R480">
        <f>IF(tblSubscriptions[[#This Row],[churned]] = "Yes",1,0)</f>
        <v>1</v>
      </c>
      <c r="S480">
        <f t="shared" si="35"/>
        <v>1</v>
      </c>
      <c r="T480">
        <f t="shared" si="36"/>
        <v>1</v>
      </c>
      <c r="U480">
        <f t="shared" si="37"/>
        <v>0</v>
      </c>
      <c r="V480">
        <f t="shared" si="38"/>
        <v>2</v>
      </c>
      <c r="W480" t="str">
        <f t="shared" si="39"/>
        <v>High Risk</v>
      </c>
    </row>
    <row r="481" spans="1:23">
      <c r="A481" t="s">
        <v>765</v>
      </c>
      <c r="B481" t="s">
        <v>39</v>
      </c>
      <c r="C481" t="s">
        <v>19</v>
      </c>
      <c r="D481" t="s">
        <v>44</v>
      </c>
      <c r="E481" t="s">
        <v>41</v>
      </c>
      <c r="F481">
        <v>5</v>
      </c>
      <c r="G481">
        <v>318</v>
      </c>
      <c r="H481" t="s">
        <v>22</v>
      </c>
      <c r="I481" t="s">
        <v>42</v>
      </c>
      <c r="J481" s="1">
        <v>44965</v>
      </c>
      <c r="K481" t="s">
        <v>24</v>
      </c>
      <c r="L481" t="s">
        <v>766</v>
      </c>
      <c r="M481" t="s">
        <v>66</v>
      </c>
      <c r="N481">
        <v>8</v>
      </c>
      <c r="O481">
        <v>6</v>
      </c>
      <c r="P481">
        <v>34</v>
      </c>
      <c r="Q481" t="s">
        <v>27</v>
      </c>
      <c r="R481">
        <f>IF(tblSubscriptions[[#This Row],[churned]] = "Yes",1,0)</f>
        <v>1</v>
      </c>
      <c r="S481">
        <f t="shared" si="35"/>
        <v>1</v>
      </c>
      <c r="T481">
        <f t="shared" si="36"/>
        <v>1</v>
      </c>
      <c r="U481">
        <f t="shared" si="37"/>
        <v>0</v>
      </c>
      <c r="V481">
        <f t="shared" si="38"/>
        <v>2</v>
      </c>
      <c r="W481" t="str">
        <f t="shared" si="39"/>
        <v>High Risk</v>
      </c>
    </row>
    <row r="482" spans="1:23">
      <c r="A482" t="s">
        <v>767</v>
      </c>
      <c r="B482" t="s">
        <v>87</v>
      </c>
      <c r="C482" t="s">
        <v>19</v>
      </c>
      <c r="D482" t="s">
        <v>83</v>
      </c>
      <c r="E482" t="s">
        <v>50</v>
      </c>
      <c r="F482">
        <v>112</v>
      </c>
      <c r="G482">
        <v>8807</v>
      </c>
      <c r="H482" t="s">
        <v>22</v>
      </c>
      <c r="I482" t="s">
        <v>42</v>
      </c>
      <c r="J482" s="1">
        <v>45464</v>
      </c>
      <c r="K482" t="s">
        <v>27</v>
      </c>
      <c r="L482" t="s">
        <v>31</v>
      </c>
      <c r="M482" t="s">
        <v>31</v>
      </c>
      <c r="N482">
        <v>2</v>
      </c>
      <c r="O482">
        <v>2</v>
      </c>
      <c r="P482">
        <v>61</v>
      </c>
      <c r="Q482" t="s">
        <v>27</v>
      </c>
      <c r="R482">
        <f>IF(tblSubscriptions[[#This Row],[churned]] = "Yes",1,0)</f>
        <v>0</v>
      </c>
      <c r="S482">
        <f t="shared" si="35"/>
        <v>0</v>
      </c>
      <c r="T482">
        <f t="shared" si="36"/>
        <v>1</v>
      </c>
      <c r="U482">
        <f t="shared" si="37"/>
        <v>0</v>
      </c>
      <c r="V482">
        <f t="shared" si="38"/>
        <v>1</v>
      </c>
      <c r="W482" t="str">
        <f t="shared" si="39"/>
        <v>Medium Risk</v>
      </c>
    </row>
    <row r="483" spans="1:23">
      <c r="A483" t="s">
        <v>768</v>
      </c>
      <c r="B483" t="s">
        <v>18</v>
      </c>
      <c r="C483" t="s">
        <v>29</v>
      </c>
      <c r="D483" t="s">
        <v>73</v>
      </c>
      <c r="E483" t="s">
        <v>41</v>
      </c>
      <c r="F483">
        <v>27</v>
      </c>
      <c r="G483">
        <v>329</v>
      </c>
      <c r="H483" t="s">
        <v>70</v>
      </c>
      <c r="I483" t="s">
        <v>23</v>
      </c>
      <c r="J483" s="1">
        <v>45567</v>
      </c>
      <c r="K483" t="s">
        <v>27</v>
      </c>
      <c r="L483" t="s">
        <v>31</v>
      </c>
      <c r="M483" t="s">
        <v>31</v>
      </c>
      <c r="N483">
        <v>8</v>
      </c>
      <c r="O483">
        <v>6</v>
      </c>
      <c r="P483">
        <v>80</v>
      </c>
      <c r="Q483" t="s">
        <v>27</v>
      </c>
      <c r="R483">
        <f>IF(tblSubscriptions[[#This Row],[churned]] = "Yes",1,0)</f>
        <v>0</v>
      </c>
      <c r="S483">
        <f t="shared" si="35"/>
        <v>0</v>
      </c>
      <c r="T483">
        <f t="shared" si="36"/>
        <v>1</v>
      </c>
      <c r="U483">
        <f t="shared" si="37"/>
        <v>0</v>
      </c>
      <c r="V483">
        <f t="shared" si="38"/>
        <v>1</v>
      </c>
      <c r="W483" t="str">
        <f t="shared" si="39"/>
        <v>Medium Risk</v>
      </c>
    </row>
    <row r="484" spans="1:23">
      <c r="A484" t="s">
        <v>769</v>
      </c>
      <c r="B484" t="s">
        <v>33</v>
      </c>
      <c r="C484" t="s">
        <v>29</v>
      </c>
      <c r="D484" t="s">
        <v>73</v>
      </c>
      <c r="E484" t="s">
        <v>41</v>
      </c>
      <c r="F484">
        <v>6</v>
      </c>
      <c r="G484">
        <v>43</v>
      </c>
      <c r="H484" t="s">
        <v>70</v>
      </c>
      <c r="I484" t="s">
        <v>23</v>
      </c>
      <c r="J484" s="1">
        <v>44614</v>
      </c>
      <c r="K484" t="s">
        <v>24</v>
      </c>
      <c r="L484" t="s">
        <v>116</v>
      </c>
      <c r="M484" t="s">
        <v>66</v>
      </c>
      <c r="N484">
        <v>6</v>
      </c>
      <c r="O484">
        <v>1</v>
      </c>
      <c r="P484">
        <v>21</v>
      </c>
      <c r="Q484" t="s">
        <v>27</v>
      </c>
      <c r="R484">
        <f>IF(tblSubscriptions[[#This Row],[churned]] = "Yes",1,0)</f>
        <v>1</v>
      </c>
      <c r="S484">
        <f t="shared" si="35"/>
        <v>1</v>
      </c>
      <c r="T484">
        <f t="shared" si="36"/>
        <v>1</v>
      </c>
      <c r="U484">
        <f t="shared" si="37"/>
        <v>0</v>
      </c>
      <c r="V484">
        <f t="shared" si="38"/>
        <v>2</v>
      </c>
      <c r="W484" t="str">
        <f t="shared" si="39"/>
        <v>High Risk</v>
      </c>
    </row>
    <row r="485" spans="1:23">
      <c r="A485" t="s">
        <v>770</v>
      </c>
      <c r="B485" t="s">
        <v>39</v>
      </c>
      <c r="C485" t="s">
        <v>19</v>
      </c>
      <c r="D485" t="s">
        <v>83</v>
      </c>
      <c r="E485" t="s">
        <v>41</v>
      </c>
      <c r="F485">
        <v>29</v>
      </c>
      <c r="G485">
        <v>1035</v>
      </c>
      <c r="H485" t="s">
        <v>22</v>
      </c>
      <c r="I485" t="s">
        <v>42</v>
      </c>
      <c r="J485" s="1">
        <v>45072</v>
      </c>
      <c r="K485" t="s">
        <v>24</v>
      </c>
      <c r="L485" t="s">
        <v>771</v>
      </c>
      <c r="M485" t="s">
        <v>52</v>
      </c>
      <c r="N485">
        <v>7</v>
      </c>
      <c r="O485">
        <v>3</v>
      </c>
      <c r="P485">
        <v>32</v>
      </c>
      <c r="Q485" t="s">
        <v>27</v>
      </c>
      <c r="R485">
        <f>IF(tblSubscriptions[[#This Row],[churned]] = "Yes",1,0)</f>
        <v>1</v>
      </c>
      <c r="S485">
        <f t="shared" si="35"/>
        <v>1</v>
      </c>
      <c r="T485">
        <f t="shared" si="36"/>
        <v>1</v>
      </c>
      <c r="U485">
        <f t="shared" si="37"/>
        <v>0</v>
      </c>
      <c r="V485">
        <f t="shared" si="38"/>
        <v>2</v>
      </c>
      <c r="W485" t="str">
        <f t="shared" si="39"/>
        <v>High Risk</v>
      </c>
    </row>
    <row r="486" spans="1:23">
      <c r="A486" t="s">
        <v>772</v>
      </c>
      <c r="B486" t="s">
        <v>18</v>
      </c>
      <c r="C486" t="s">
        <v>29</v>
      </c>
      <c r="D486" t="s">
        <v>34</v>
      </c>
      <c r="E486" t="s">
        <v>47</v>
      </c>
      <c r="F486">
        <v>2</v>
      </c>
      <c r="G486">
        <v>77</v>
      </c>
      <c r="H486" t="s">
        <v>22</v>
      </c>
      <c r="I486" t="s">
        <v>42</v>
      </c>
      <c r="J486" s="1">
        <v>45182</v>
      </c>
      <c r="K486" t="s">
        <v>24</v>
      </c>
      <c r="L486" t="s">
        <v>773</v>
      </c>
      <c r="M486" t="s">
        <v>62</v>
      </c>
      <c r="N486">
        <v>7</v>
      </c>
      <c r="O486">
        <v>1</v>
      </c>
      <c r="P486">
        <v>30</v>
      </c>
      <c r="Q486" t="s">
        <v>27</v>
      </c>
      <c r="R486">
        <f>IF(tblSubscriptions[[#This Row],[churned]] = "Yes",1,0)</f>
        <v>1</v>
      </c>
      <c r="S486">
        <f t="shared" si="35"/>
        <v>1</v>
      </c>
      <c r="T486">
        <f t="shared" si="36"/>
        <v>1</v>
      </c>
      <c r="U486">
        <f t="shared" si="37"/>
        <v>0</v>
      </c>
      <c r="V486">
        <f t="shared" si="38"/>
        <v>2</v>
      </c>
      <c r="W486" t="str">
        <f t="shared" si="39"/>
        <v>High Risk</v>
      </c>
    </row>
    <row r="487" spans="1:23">
      <c r="A487" t="s">
        <v>774</v>
      </c>
      <c r="B487" t="s">
        <v>33</v>
      </c>
      <c r="C487" t="s">
        <v>19</v>
      </c>
      <c r="D487" t="s">
        <v>60</v>
      </c>
      <c r="E487" t="s">
        <v>21</v>
      </c>
      <c r="F487">
        <v>25</v>
      </c>
      <c r="G487">
        <v>133</v>
      </c>
      <c r="H487" t="s">
        <v>36</v>
      </c>
      <c r="I487" t="s">
        <v>64</v>
      </c>
      <c r="J487" s="1">
        <v>45625</v>
      </c>
      <c r="K487" t="s">
        <v>24</v>
      </c>
      <c r="L487" t="s">
        <v>215</v>
      </c>
      <c r="M487" t="s">
        <v>62</v>
      </c>
      <c r="N487">
        <v>10</v>
      </c>
      <c r="O487">
        <v>4</v>
      </c>
      <c r="P487">
        <v>29</v>
      </c>
      <c r="Q487" t="s">
        <v>27</v>
      </c>
      <c r="R487">
        <f>IF(tblSubscriptions[[#This Row],[churned]] = "Yes",1,0)</f>
        <v>1</v>
      </c>
      <c r="S487">
        <f t="shared" si="35"/>
        <v>1</v>
      </c>
      <c r="T487">
        <f t="shared" si="36"/>
        <v>1</v>
      </c>
      <c r="U487">
        <f t="shared" si="37"/>
        <v>0</v>
      </c>
      <c r="V487">
        <f t="shared" si="38"/>
        <v>2</v>
      </c>
      <c r="W487" t="str">
        <f t="shared" si="39"/>
        <v>High Risk</v>
      </c>
    </row>
    <row r="488" spans="1:23">
      <c r="A488" t="s">
        <v>775</v>
      </c>
      <c r="B488" t="s">
        <v>33</v>
      </c>
      <c r="C488" t="s">
        <v>19</v>
      </c>
      <c r="D488" t="s">
        <v>40</v>
      </c>
      <c r="E488" t="s">
        <v>47</v>
      </c>
      <c r="F488">
        <v>7</v>
      </c>
      <c r="G488">
        <v>55</v>
      </c>
      <c r="H488" t="s">
        <v>124</v>
      </c>
      <c r="I488" t="s">
        <v>42</v>
      </c>
      <c r="J488" s="1">
        <v>45485</v>
      </c>
      <c r="K488" t="s">
        <v>24</v>
      </c>
      <c r="L488" t="s">
        <v>776</v>
      </c>
      <c r="M488" t="s">
        <v>102</v>
      </c>
      <c r="N488">
        <v>8</v>
      </c>
      <c r="O488">
        <v>3</v>
      </c>
      <c r="P488">
        <v>50</v>
      </c>
      <c r="Q488" t="s">
        <v>27</v>
      </c>
      <c r="R488">
        <f>IF(tblSubscriptions[[#This Row],[churned]] = "Yes",1,0)</f>
        <v>1</v>
      </c>
      <c r="S488">
        <f t="shared" si="35"/>
        <v>0</v>
      </c>
      <c r="T488">
        <f t="shared" si="36"/>
        <v>1</v>
      </c>
      <c r="U488">
        <f t="shared" si="37"/>
        <v>0</v>
      </c>
      <c r="V488">
        <f t="shared" si="38"/>
        <v>1</v>
      </c>
      <c r="W488" t="str">
        <f t="shared" si="39"/>
        <v>Medium Risk</v>
      </c>
    </row>
    <row r="489" spans="1:23">
      <c r="A489" t="s">
        <v>777</v>
      </c>
      <c r="B489" t="s">
        <v>39</v>
      </c>
      <c r="C489" t="s">
        <v>29</v>
      </c>
      <c r="D489" t="s">
        <v>73</v>
      </c>
      <c r="E489" t="s">
        <v>47</v>
      </c>
      <c r="F489">
        <v>7</v>
      </c>
      <c r="G489">
        <v>321</v>
      </c>
      <c r="H489" t="s">
        <v>36</v>
      </c>
      <c r="I489" t="s">
        <v>23</v>
      </c>
      <c r="J489" s="1">
        <v>44825</v>
      </c>
      <c r="K489" t="s">
        <v>27</v>
      </c>
      <c r="L489" t="s">
        <v>31</v>
      </c>
      <c r="M489" t="s">
        <v>31</v>
      </c>
      <c r="N489">
        <v>2</v>
      </c>
      <c r="O489">
        <v>6</v>
      </c>
      <c r="P489">
        <v>84</v>
      </c>
      <c r="Q489" t="s">
        <v>27</v>
      </c>
      <c r="R489">
        <f>IF(tblSubscriptions[[#This Row],[churned]] = "Yes",1,0)</f>
        <v>0</v>
      </c>
      <c r="S489">
        <f t="shared" si="35"/>
        <v>0</v>
      </c>
      <c r="T489">
        <f t="shared" si="36"/>
        <v>1</v>
      </c>
      <c r="U489">
        <f t="shared" si="37"/>
        <v>0</v>
      </c>
      <c r="V489">
        <f t="shared" si="38"/>
        <v>1</v>
      </c>
      <c r="W489" t="str">
        <f t="shared" si="39"/>
        <v>Medium Risk</v>
      </c>
    </row>
    <row r="490" spans="1:23">
      <c r="A490" t="s">
        <v>778</v>
      </c>
      <c r="B490" t="s">
        <v>18</v>
      </c>
      <c r="C490" t="s">
        <v>19</v>
      </c>
      <c r="D490" t="s">
        <v>97</v>
      </c>
      <c r="E490" t="s">
        <v>41</v>
      </c>
      <c r="F490">
        <v>24</v>
      </c>
      <c r="G490">
        <v>352</v>
      </c>
      <c r="H490" t="s">
        <v>48</v>
      </c>
      <c r="I490" t="s">
        <v>64</v>
      </c>
      <c r="J490" s="1">
        <v>45137</v>
      </c>
      <c r="K490" t="s">
        <v>24</v>
      </c>
      <c r="L490" t="s">
        <v>779</v>
      </c>
      <c r="M490" t="s">
        <v>75</v>
      </c>
      <c r="N490">
        <v>15</v>
      </c>
      <c r="O490">
        <v>5</v>
      </c>
      <c r="P490">
        <v>26</v>
      </c>
      <c r="Q490" t="s">
        <v>27</v>
      </c>
      <c r="R490">
        <f>IF(tblSubscriptions[[#This Row],[churned]] = "Yes",1,0)</f>
        <v>1</v>
      </c>
      <c r="S490">
        <f t="shared" si="35"/>
        <v>1</v>
      </c>
      <c r="T490">
        <f t="shared" si="36"/>
        <v>1</v>
      </c>
      <c r="U490">
        <f t="shared" si="37"/>
        <v>1</v>
      </c>
      <c r="V490">
        <f t="shared" si="38"/>
        <v>3</v>
      </c>
      <c r="W490" t="str">
        <f t="shared" si="39"/>
        <v>High Risk</v>
      </c>
    </row>
    <row r="491" spans="1:23">
      <c r="A491" t="s">
        <v>780</v>
      </c>
      <c r="B491" t="s">
        <v>87</v>
      </c>
      <c r="C491" t="s">
        <v>19</v>
      </c>
      <c r="D491" t="s">
        <v>56</v>
      </c>
      <c r="E491" t="s">
        <v>47</v>
      </c>
      <c r="F491">
        <v>6</v>
      </c>
      <c r="G491">
        <v>873</v>
      </c>
      <c r="H491" t="s">
        <v>48</v>
      </c>
      <c r="I491" t="s">
        <v>23</v>
      </c>
      <c r="J491" s="1">
        <v>44647</v>
      </c>
      <c r="K491" t="s">
        <v>24</v>
      </c>
      <c r="L491" t="s">
        <v>200</v>
      </c>
      <c r="M491" t="s">
        <v>66</v>
      </c>
      <c r="N491">
        <v>11</v>
      </c>
      <c r="O491">
        <v>3</v>
      </c>
      <c r="P491">
        <v>19</v>
      </c>
      <c r="Q491" t="s">
        <v>27</v>
      </c>
      <c r="R491">
        <f>IF(tblSubscriptions[[#This Row],[churned]] = "Yes",1,0)</f>
        <v>1</v>
      </c>
      <c r="S491">
        <f t="shared" si="35"/>
        <v>1</v>
      </c>
      <c r="T491">
        <f t="shared" si="36"/>
        <v>1</v>
      </c>
      <c r="U491">
        <f t="shared" si="37"/>
        <v>1</v>
      </c>
      <c r="V491">
        <f t="shared" si="38"/>
        <v>3</v>
      </c>
      <c r="W491" t="str">
        <f t="shared" si="39"/>
        <v>High Risk</v>
      </c>
    </row>
    <row r="492" spans="1:23">
      <c r="A492" t="s">
        <v>781</v>
      </c>
      <c r="B492" t="s">
        <v>33</v>
      </c>
      <c r="C492" t="s">
        <v>19</v>
      </c>
      <c r="D492" t="s">
        <v>44</v>
      </c>
      <c r="E492" t="s">
        <v>50</v>
      </c>
      <c r="F492">
        <v>121</v>
      </c>
      <c r="G492">
        <v>551</v>
      </c>
      <c r="H492" t="s">
        <v>124</v>
      </c>
      <c r="I492" t="s">
        <v>42</v>
      </c>
      <c r="J492" s="1">
        <v>45444</v>
      </c>
      <c r="K492" t="s">
        <v>24</v>
      </c>
      <c r="L492" t="s">
        <v>183</v>
      </c>
      <c r="M492" t="s">
        <v>26</v>
      </c>
      <c r="N492">
        <v>2</v>
      </c>
      <c r="O492">
        <v>6</v>
      </c>
      <c r="P492">
        <v>23</v>
      </c>
      <c r="Q492" t="s">
        <v>27</v>
      </c>
      <c r="R492">
        <f>IF(tblSubscriptions[[#This Row],[churned]] = "Yes",1,0)</f>
        <v>1</v>
      </c>
      <c r="S492">
        <f t="shared" si="35"/>
        <v>1</v>
      </c>
      <c r="T492">
        <f t="shared" si="36"/>
        <v>1</v>
      </c>
      <c r="U492">
        <f t="shared" si="37"/>
        <v>0</v>
      </c>
      <c r="V492">
        <f t="shared" si="38"/>
        <v>2</v>
      </c>
      <c r="W492" t="str">
        <f t="shared" si="39"/>
        <v>High Risk</v>
      </c>
    </row>
    <row r="493" spans="1:23">
      <c r="A493" t="s">
        <v>782</v>
      </c>
      <c r="B493" t="s">
        <v>18</v>
      </c>
      <c r="C493" t="s">
        <v>19</v>
      </c>
      <c r="D493" t="s">
        <v>34</v>
      </c>
      <c r="E493" t="s">
        <v>47</v>
      </c>
      <c r="F493">
        <v>4</v>
      </c>
      <c r="G493">
        <v>115</v>
      </c>
      <c r="H493" t="s">
        <v>48</v>
      </c>
      <c r="I493" t="s">
        <v>42</v>
      </c>
      <c r="J493" s="1">
        <v>44899</v>
      </c>
      <c r="K493" t="s">
        <v>24</v>
      </c>
      <c r="L493" t="s">
        <v>783</v>
      </c>
      <c r="M493" t="s">
        <v>66</v>
      </c>
      <c r="N493">
        <v>15</v>
      </c>
      <c r="O493">
        <v>1</v>
      </c>
      <c r="P493">
        <v>27</v>
      </c>
      <c r="Q493" t="s">
        <v>27</v>
      </c>
      <c r="R493">
        <f>IF(tblSubscriptions[[#This Row],[churned]] = "Yes",1,0)</f>
        <v>1</v>
      </c>
      <c r="S493">
        <f t="shared" si="35"/>
        <v>1</v>
      </c>
      <c r="T493">
        <f t="shared" si="36"/>
        <v>1</v>
      </c>
      <c r="U493">
        <f t="shared" si="37"/>
        <v>1</v>
      </c>
      <c r="V493">
        <f t="shared" si="38"/>
        <v>3</v>
      </c>
      <c r="W493" t="str">
        <f t="shared" si="39"/>
        <v>High Risk</v>
      </c>
    </row>
    <row r="494" spans="1:23">
      <c r="A494" t="s">
        <v>784</v>
      </c>
      <c r="B494" t="s">
        <v>33</v>
      </c>
      <c r="C494" t="s">
        <v>29</v>
      </c>
      <c r="D494" t="s">
        <v>34</v>
      </c>
      <c r="E494" t="s">
        <v>21</v>
      </c>
      <c r="F494">
        <v>73</v>
      </c>
      <c r="G494">
        <v>291</v>
      </c>
      <c r="H494" t="s">
        <v>22</v>
      </c>
      <c r="I494" t="s">
        <v>23</v>
      </c>
      <c r="J494" s="1">
        <v>45936</v>
      </c>
      <c r="K494" t="s">
        <v>27</v>
      </c>
      <c r="L494" t="s">
        <v>31</v>
      </c>
      <c r="M494" t="s">
        <v>31</v>
      </c>
      <c r="N494">
        <v>3</v>
      </c>
      <c r="O494">
        <v>7</v>
      </c>
      <c r="P494">
        <v>57</v>
      </c>
      <c r="Q494" t="s">
        <v>27</v>
      </c>
      <c r="R494">
        <f>IF(tblSubscriptions[[#This Row],[churned]] = "Yes",1,0)</f>
        <v>0</v>
      </c>
      <c r="S494">
        <f t="shared" si="35"/>
        <v>0</v>
      </c>
      <c r="T494">
        <f t="shared" si="36"/>
        <v>0</v>
      </c>
      <c r="U494">
        <f t="shared" si="37"/>
        <v>0</v>
      </c>
      <c r="V494">
        <f t="shared" si="38"/>
        <v>0</v>
      </c>
      <c r="W494" t="str">
        <f t="shared" si="39"/>
        <v>Low Risk</v>
      </c>
    </row>
    <row r="495" spans="1:23">
      <c r="A495" t="s">
        <v>785</v>
      </c>
      <c r="B495" t="s">
        <v>39</v>
      </c>
      <c r="C495" t="s">
        <v>19</v>
      </c>
      <c r="D495" t="s">
        <v>20</v>
      </c>
      <c r="E495" t="s">
        <v>35</v>
      </c>
      <c r="F495">
        <v>199</v>
      </c>
      <c r="G495">
        <v>6109</v>
      </c>
      <c r="H495" t="s">
        <v>36</v>
      </c>
      <c r="I495" t="s">
        <v>23</v>
      </c>
      <c r="J495" s="1">
        <v>44711</v>
      </c>
      <c r="K495" t="s">
        <v>24</v>
      </c>
      <c r="L495" t="s">
        <v>786</v>
      </c>
      <c r="M495" t="s">
        <v>102</v>
      </c>
      <c r="N495">
        <v>13</v>
      </c>
      <c r="O495">
        <v>4</v>
      </c>
      <c r="P495">
        <v>26</v>
      </c>
      <c r="Q495" t="s">
        <v>27</v>
      </c>
      <c r="R495">
        <f>IF(tblSubscriptions[[#This Row],[churned]] = "Yes",1,0)</f>
        <v>1</v>
      </c>
      <c r="S495">
        <f t="shared" si="35"/>
        <v>1</v>
      </c>
      <c r="T495">
        <f t="shared" si="36"/>
        <v>1</v>
      </c>
      <c r="U495">
        <f t="shared" si="37"/>
        <v>1</v>
      </c>
      <c r="V495">
        <f t="shared" si="38"/>
        <v>3</v>
      </c>
      <c r="W495" t="str">
        <f t="shared" si="39"/>
        <v>High Risk</v>
      </c>
    </row>
    <row r="496" spans="1:23">
      <c r="A496" t="s">
        <v>787</v>
      </c>
      <c r="B496" t="s">
        <v>39</v>
      </c>
      <c r="C496" t="s">
        <v>19</v>
      </c>
      <c r="D496" t="s">
        <v>60</v>
      </c>
      <c r="E496" t="s">
        <v>41</v>
      </c>
      <c r="F496">
        <v>21</v>
      </c>
      <c r="G496">
        <v>796</v>
      </c>
      <c r="H496" t="s">
        <v>70</v>
      </c>
      <c r="I496" t="s">
        <v>64</v>
      </c>
      <c r="J496" s="1">
        <v>44783</v>
      </c>
      <c r="K496" t="s">
        <v>24</v>
      </c>
      <c r="L496" t="s">
        <v>617</v>
      </c>
      <c r="M496" t="s">
        <v>75</v>
      </c>
      <c r="N496">
        <v>4</v>
      </c>
      <c r="O496">
        <v>1</v>
      </c>
      <c r="P496">
        <v>13</v>
      </c>
      <c r="Q496" t="s">
        <v>27</v>
      </c>
      <c r="R496">
        <f>IF(tblSubscriptions[[#This Row],[churned]] = "Yes",1,0)</f>
        <v>1</v>
      </c>
      <c r="S496">
        <f t="shared" si="35"/>
        <v>1</v>
      </c>
      <c r="T496">
        <f t="shared" si="36"/>
        <v>1</v>
      </c>
      <c r="U496">
        <f t="shared" si="37"/>
        <v>0</v>
      </c>
      <c r="V496">
        <f t="shared" si="38"/>
        <v>2</v>
      </c>
      <c r="W496" t="str">
        <f t="shared" si="39"/>
        <v>High Risk</v>
      </c>
    </row>
    <row r="497" spans="1:23">
      <c r="A497" t="s">
        <v>788</v>
      </c>
      <c r="B497" t="s">
        <v>33</v>
      </c>
      <c r="C497" t="s">
        <v>29</v>
      </c>
      <c r="D497" t="s">
        <v>34</v>
      </c>
      <c r="E497" t="s">
        <v>47</v>
      </c>
      <c r="F497">
        <v>4</v>
      </c>
      <c r="G497">
        <v>36</v>
      </c>
      <c r="H497" t="s">
        <v>48</v>
      </c>
      <c r="I497" t="s">
        <v>42</v>
      </c>
      <c r="J497" s="1">
        <v>45104</v>
      </c>
      <c r="K497" t="s">
        <v>24</v>
      </c>
      <c r="L497" t="s">
        <v>323</v>
      </c>
      <c r="M497" t="s">
        <v>26</v>
      </c>
      <c r="N497">
        <v>1</v>
      </c>
      <c r="O497">
        <v>1</v>
      </c>
      <c r="P497">
        <v>39</v>
      </c>
      <c r="Q497" t="s">
        <v>27</v>
      </c>
      <c r="R497">
        <f>IF(tblSubscriptions[[#This Row],[churned]] = "Yes",1,0)</f>
        <v>1</v>
      </c>
      <c r="S497">
        <f t="shared" si="35"/>
        <v>1</v>
      </c>
      <c r="T497">
        <f t="shared" si="36"/>
        <v>1</v>
      </c>
      <c r="U497">
        <f t="shared" si="37"/>
        <v>0</v>
      </c>
      <c r="V497">
        <f t="shared" si="38"/>
        <v>2</v>
      </c>
      <c r="W497" t="str">
        <f t="shared" si="39"/>
        <v>High Risk</v>
      </c>
    </row>
    <row r="498" spans="1:23">
      <c r="A498" t="s">
        <v>789</v>
      </c>
      <c r="B498" t="s">
        <v>87</v>
      </c>
      <c r="C498" t="s">
        <v>19</v>
      </c>
      <c r="D498" t="s">
        <v>83</v>
      </c>
      <c r="E498" t="s">
        <v>47</v>
      </c>
      <c r="F498">
        <v>4</v>
      </c>
      <c r="G498">
        <v>724</v>
      </c>
      <c r="H498" t="s">
        <v>70</v>
      </c>
      <c r="I498" t="s">
        <v>23</v>
      </c>
      <c r="J498" s="1">
        <v>45325</v>
      </c>
      <c r="K498" t="s">
        <v>27</v>
      </c>
      <c r="L498" t="s">
        <v>31</v>
      </c>
      <c r="M498" t="s">
        <v>31</v>
      </c>
      <c r="N498">
        <v>0</v>
      </c>
      <c r="O498">
        <v>6</v>
      </c>
      <c r="P498">
        <v>47</v>
      </c>
      <c r="Q498" t="s">
        <v>27</v>
      </c>
      <c r="R498">
        <f>IF(tblSubscriptions[[#This Row],[churned]] = "Yes",1,0)</f>
        <v>0</v>
      </c>
      <c r="S498">
        <f t="shared" si="35"/>
        <v>1</v>
      </c>
      <c r="T498">
        <f t="shared" si="36"/>
        <v>1</v>
      </c>
      <c r="U498">
        <f t="shared" si="37"/>
        <v>0</v>
      </c>
      <c r="V498">
        <f t="shared" si="38"/>
        <v>2</v>
      </c>
      <c r="W498" t="str">
        <f t="shared" si="39"/>
        <v>High Risk</v>
      </c>
    </row>
    <row r="499" spans="1:23">
      <c r="A499" t="s">
        <v>790</v>
      </c>
      <c r="B499" t="s">
        <v>39</v>
      </c>
      <c r="C499" t="s">
        <v>29</v>
      </c>
      <c r="D499" t="s">
        <v>73</v>
      </c>
      <c r="E499" t="s">
        <v>41</v>
      </c>
      <c r="F499">
        <v>5</v>
      </c>
      <c r="G499">
        <v>271</v>
      </c>
      <c r="H499" t="s">
        <v>124</v>
      </c>
      <c r="I499" t="s">
        <v>42</v>
      </c>
      <c r="J499" s="1">
        <v>46015</v>
      </c>
      <c r="K499" t="s">
        <v>27</v>
      </c>
      <c r="L499" t="s">
        <v>31</v>
      </c>
      <c r="M499" t="s">
        <v>31</v>
      </c>
      <c r="N499">
        <v>3</v>
      </c>
      <c r="O499">
        <v>5</v>
      </c>
      <c r="P499">
        <v>48</v>
      </c>
      <c r="Q499" t="s">
        <v>27</v>
      </c>
      <c r="R499">
        <f>IF(tblSubscriptions[[#This Row],[churned]] = "Yes",1,0)</f>
        <v>0</v>
      </c>
      <c r="S499">
        <f t="shared" si="35"/>
        <v>1</v>
      </c>
      <c r="T499">
        <f t="shared" si="36"/>
        <v>1</v>
      </c>
      <c r="U499">
        <f t="shared" si="37"/>
        <v>0</v>
      </c>
      <c r="V499">
        <f t="shared" si="38"/>
        <v>2</v>
      </c>
      <c r="W499" t="str">
        <f t="shared" si="39"/>
        <v>High Risk</v>
      </c>
    </row>
    <row r="500" spans="1:23">
      <c r="A500" t="s">
        <v>791</v>
      </c>
      <c r="B500" t="s">
        <v>39</v>
      </c>
      <c r="C500" t="s">
        <v>19</v>
      </c>
      <c r="D500" t="s">
        <v>73</v>
      </c>
      <c r="E500" t="s">
        <v>41</v>
      </c>
      <c r="F500">
        <v>15</v>
      </c>
      <c r="G500">
        <v>617</v>
      </c>
      <c r="H500" t="s">
        <v>48</v>
      </c>
      <c r="I500" t="s">
        <v>23</v>
      </c>
      <c r="J500" s="1">
        <v>45722</v>
      </c>
      <c r="K500" t="s">
        <v>27</v>
      </c>
      <c r="L500" t="s">
        <v>31</v>
      </c>
      <c r="M500" t="s">
        <v>31</v>
      </c>
      <c r="N500">
        <v>11</v>
      </c>
      <c r="O500">
        <v>10</v>
      </c>
      <c r="P500">
        <v>37</v>
      </c>
      <c r="Q500" t="s">
        <v>27</v>
      </c>
      <c r="R500">
        <f>IF(tblSubscriptions[[#This Row],[churned]] = "Yes",1,0)</f>
        <v>0</v>
      </c>
      <c r="S500">
        <f t="shared" si="35"/>
        <v>1</v>
      </c>
      <c r="T500">
        <f t="shared" si="36"/>
        <v>0</v>
      </c>
      <c r="U500">
        <f t="shared" si="37"/>
        <v>1</v>
      </c>
      <c r="V500">
        <f t="shared" si="38"/>
        <v>2</v>
      </c>
      <c r="W500" t="str">
        <f t="shared" si="39"/>
        <v>High Risk</v>
      </c>
    </row>
    <row r="501" spans="1:23">
      <c r="A501" t="s">
        <v>792</v>
      </c>
      <c r="B501" t="s">
        <v>18</v>
      </c>
      <c r="C501" t="s">
        <v>19</v>
      </c>
      <c r="D501" t="s">
        <v>56</v>
      </c>
      <c r="E501" t="s">
        <v>21</v>
      </c>
      <c r="F501">
        <v>71</v>
      </c>
      <c r="G501">
        <v>909</v>
      </c>
      <c r="H501" t="s">
        <v>48</v>
      </c>
      <c r="I501" t="s">
        <v>23</v>
      </c>
      <c r="J501" s="1">
        <v>45989</v>
      </c>
      <c r="K501" t="s">
        <v>27</v>
      </c>
      <c r="L501" t="s">
        <v>31</v>
      </c>
      <c r="M501" t="s">
        <v>31</v>
      </c>
      <c r="N501">
        <v>4</v>
      </c>
      <c r="O501">
        <v>5</v>
      </c>
      <c r="P501">
        <v>70</v>
      </c>
      <c r="Q501" t="s">
        <v>27</v>
      </c>
      <c r="R501">
        <f>IF(tblSubscriptions[[#This Row],[churned]] = "Yes",1,0)</f>
        <v>0</v>
      </c>
      <c r="S501">
        <f t="shared" si="35"/>
        <v>0</v>
      </c>
      <c r="T501">
        <f t="shared" si="36"/>
        <v>1</v>
      </c>
      <c r="U501">
        <f t="shared" si="37"/>
        <v>0</v>
      </c>
      <c r="V501">
        <f t="shared" si="38"/>
        <v>1</v>
      </c>
      <c r="W501" t="str">
        <f t="shared" si="39"/>
        <v>Medium Risk</v>
      </c>
    </row>
    <row r="502" spans="1:23">
      <c r="A502" t="s">
        <v>793</v>
      </c>
      <c r="B502" t="s">
        <v>33</v>
      </c>
      <c r="C502" t="s">
        <v>29</v>
      </c>
      <c r="D502" t="s">
        <v>73</v>
      </c>
      <c r="E502" t="s">
        <v>35</v>
      </c>
      <c r="F502">
        <v>144</v>
      </c>
      <c r="G502">
        <v>553</v>
      </c>
      <c r="H502" t="s">
        <v>36</v>
      </c>
      <c r="I502" t="s">
        <v>23</v>
      </c>
      <c r="J502" s="1">
        <v>45137</v>
      </c>
      <c r="K502" t="s">
        <v>24</v>
      </c>
      <c r="L502" t="s">
        <v>794</v>
      </c>
      <c r="M502" t="s">
        <v>66</v>
      </c>
      <c r="N502">
        <v>6</v>
      </c>
      <c r="O502">
        <v>3</v>
      </c>
      <c r="P502">
        <v>45</v>
      </c>
      <c r="Q502" t="s">
        <v>27</v>
      </c>
      <c r="R502">
        <f>IF(tblSubscriptions[[#This Row],[churned]] = "Yes",1,0)</f>
        <v>1</v>
      </c>
      <c r="S502">
        <f t="shared" si="35"/>
        <v>1</v>
      </c>
      <c r="T502">
        <f t="shared" si="36"/>
        <v>1</v>
      </c>
      <c r="U502">
        <f t="shared" si="37"/>
        <v>0</v>
      </c>
      <c r="V502">
        <f t="shared" si="38"/>
        <v>2</v>
      </c>
      <c r="W502" t="str">
        <f t="shared" si="39"/>
        <v>High Risk</v>
      </c>
    </row>
    <row r="503" spans="1:23">
      <c r="A503" t="s">
        <v>795</v>
      </c>
      <c r="B503" t="s">
        <v>18</v>
      </c>
      <c r="C503" t="s">
        <v>29</v>
      </c>
      <c r="D503" t="s">
        <v>20</v>
      </c>
      <c r="E503" t="s">
        <v>41</v>
      </c>
      <c r="F503">
        <v>32</v>
      </c>
      <c r="G503">
        <v>379</v>
      </c>
      <c r="H503" t="s">
        <v>48</v>
      </c>
      <c r="I503" t="s">
        <v>42</v>
      </c>
      <c r="J503" s="1">
        <v>45593</v>
      </c>
      <c r="K503" t="s">
        <v>27</v>
      </c>
      <c r="L503" t="s">
        <v>31</v>
      </c>
      <c r="M503" t="s">
        <v>31</v>
      </c>
      <c r="N503">
        <v>5</v>
      </c>
      <c r="O503">
        <v>9</v>
      </c>
      <c r="P503">
        <v>36</v>
      </c>
      <c r="Q503" t="s">
        <v>27</v>
      </c>
      <c r="R503">
        <f>IF(tblSubscriptions[[#This Row],[churned]] = "Yes",1,0)</f>
        <v>0</v>
      </c>
      <c r="S503">
        <f t="shared" si="35"/>
        <v>1</v>
      </c>
      <c r="T503">
        <f t="shared" si="36"/>
        <v>0</v>
      </c>
      <c r="U503">
        <f t="shared" si="37"/>
        <v>0</v>
      </c>
      <c r="V503">
        <f t="shared" si="38"/>
        <v>1</v>
      </c>
      <c r="W503" t="str">
        <f t="shared" si="39"/>
        <v>Medium Risk</v>
      </c>
    </row>
    <row r="504" spans="1:23">
      <c r="A504" t="s">
        <v>796</v>
      </c>
      <c r="B504" t="s">
        <v>87</v>
      </c>
      <c r="C504" t="s">
        <v>29</v>
      </c>
      <c r="D504" t="s">
        <v>40</v>
      </c>
      <c r="E504" t="s">
        <v>41</v>
      </c>
      <c r="F504">
        <v>23</v>
      </c>
      <c r="G504">
        <v>1824</v>
      </c>
      <c r="H504" t="s">
        <v>22</v>
      </c>
      <c r="I504" t="s">
        <v>84</v>
      </c>
      <c r="J504" s="1">
        <v>45677</v>
      </c>
      <c r="K504" t="s">
        <v>27</v>
      </c>
      <c r="L504" t="s">
        <v>31</v>
      </c>
      <c r="M504" t="s">
        <v>31</v>
      </c>
      <c r="N504">
        <v>10</v>
      </c>
      <c r="O504">
        <v>7</v>
      </c>
      <c r="P504">
        <v>16</v>
      </c>
      <c r="Q504" t="s">
        <v>27</v>
      </c>
      <c r="R504">
        <f>IF(tblSubscriptions[[#This Row],[churned]] = "Yes",1,0)</f>
        <v>0</v>
      </c>
      <c r="S504">
        <f t="shared" si="35"/>
        <v>1</v>
      </c>
      <c r="T504">
        <f t="shared" si="36"/>
        <v>0</v>
      </c>
      <c r="U504">
        <f t="shared" si="37"/>
        <v>0</v>
      </c>
      <c r="V504">
        <f t="shared" si="38"/>
        <v>1</v>
      </c>
      <c r="W504" t="str">
        <f t="shared" si="39"/>
        <v>Medium Risk</v>
      </c>
    </row>
    <row r="505" spans="1:23">
      <c r="A505" t="s">
        <v>797</v>
      </c>
      <c r="B505" t="s">
        <v>33</v>
      </c>
      <c r="C505" t="s">
        <v>19</v>
      </c>
      <c r="D505" t="s">
        <v>20</v>
      </c>
      <c r="E505" t="s">
        <v>41</v>
      </c>
      <c r="F505">
        <v>15</v>
      </c>
      <c r="G505">
        <v>90</v>
      </c>
      <c r="H505" t="s">
        <v>22</v>
      </c>
      <c r="I505" t="s">
        <v>42</v>
      </c>
      <c r="J505" s="1">
        <v>45759</v>
      </c>
      <c r="K505" t="s">
        <v>24</v>
      </c>
      <c r="L505" t="s">
        <v>798</v>
      </c>
      <c r="M505" t="s">
        <v>62</v>
      </c>
      <c r="N505">
        <v>14</v>
      </c>
      <c r="O505">
        <v>3</v>
      </c>
      <c r="P505">
        <v>26</v>
      </c>
      <c r="Q505" t="s">
        <v>27</v>
      </c>
      <c r="R505">
        <f>IF(tblSubscriptions[[#This Row],[churned]] = "Yes",1,0)</f>
        <v>1</v>
      </c>
      <c r="S505">
        <f t="shared" si="35"/>
        <v>1</v>
      </c>
      <c r="T505">
        <f t="shared" si="36"/>
        <v>1</v>
      </c>
      <c r="U505">
        <f t="shared" si="37"/>
        <v>1</v>
      </c>
      <c r="V505">
        <f t="shared" si="38"/>
        <v>3</v>
      </c>
      <c r="W505" t="str">
        <f t="shared" si="39"/>
        <v>High Risk</v>
      </c>
    </row>
    <row r="506" spans="1:23">
      <c r="A506" t="s">
        <v>799</v>
      </c>
      <c r="B506" t="s">
        <v>39</v>
      </c>
      <c r="C506" t="s">
        <v>19</v>
      </c>
      <c r="D506" t="s">
        <v>46</v>
      </c>
      <c r="E506" t="s">
        <v>21</v>
      </c>
      <c r="F506">
        <v>49</v>
      </c>
      <c r="G506">
        <v>1632</v>
      </c>
      <c r="H506" t="s">
        <v>48</v>
      </c>
      <c r="I506" t="s">
        <v>23</v>
      </c>
      <c r="J506" s="1">
        <v>44693</v>
      </c>
      <c r="K506" t="s">
        <v>24</v>
      </c>
      <c r="L506" t="s">
        <v>800</v>
      </c>
      <c r="M506" t="s">
        <v>62</v>
      </c>
      <c r="N506">
        <v>10</v>
      </c>
      <c r="O506">
        <v>6</v>
      </c>
      <c r="P506">
        <v>16</v>
      </c>
      <c r="Q506" t="s">
        <v>27</v>
      </c>
      <c r="R506">
        <f>IF(tblSubscriptions[[#This Row],[churned]] = "Yes",1,0)</f>
        <v>1</v>
      </c>
      <c r="S506">
        <f t="shared" si="35"/>
        <v>1</v>
      </c>
      <c r="T506">
        <f t="shared" si="36"/>
        <v>1</v>
      </c>
      <c r="U506">
        <f t="shared" si="37"/>
        <v>0</v>
      </c>
      <c r="V506">
        <f t="shared" si="38"/>
        <v>2</v>
      </c>
      <c r="W506" t="str">
        <f t="shared" si="39"/>
        <v>High Risk</v>
      </c>
    </row>
    <row r="507" spans="1:23">
      <c r="A507" t="s">
        <v>801</v>
      </c>
      <c r="B507" t="s">
        <v>33</v>
      </c>
      <c r="C507" t="s">
        <v>19</v>
      </c>
      <c r="D507" t="s">
        <v>46</v>
      </c>
      <c r="E507" t="s">
        <v>41</v>
      </c>
      <c r="F507">
        <v>26</v>
      </c>
      <c r="G507">
        <v>138</v>
      </c>
      <c r="H507" t="s">
        <v>22</v>
      </c>
      <c r="I507" t="s">
        <v>84</v>
      </c>
      <c r="J507" s="1">
        <v>45604</v>
      </c>
      <c r="K507" t="s">
        <v>24</v>
      </c>
      <c r="L507" t="s">
        <v>802</v>
      </c>
      <c r="M507" t="s">
        <v>75</v>
      </c>
      <c r="N507">
        <v>12</v>
      </c>
      <c r="O507">
        <v>2</v>
      </c>
      <c r="P507">
        <v>26</v>
      </c>
      <c r="Q507" t="s">
        <v>27</v>
      </c>
      <c r="R507">
        <f>IF(tblSubscriptions[[#This Row],[churned]] = "Yes",1,0)</f>
        <v>1</v>
      </c>
      <c r="S507">
        <f t="shared" si="35"/>
        <v>1</v>
      </c>
      <c r="T507">
        <f t="shared" si="36"/>
        <v>1</v>
      </c>
      <c r="U507">
        <f t="shared" si="37"/>
        <v>1</v>
      </c>
      <c r="V507">
        <f t="shared" si="38"/>
        <v>3</v>
      </c>
      <c r="W507" t="str">
        <f t="shared" si="39"/>
        <v>High Risk</v>
      </c>
    </row>
    <row r="508" spans="1:23">
      <c r="A508" t="s">
        <v>803</v>
      </c>
      <c r="B508" t="s">
        <v>39</v>
      </c>
      <c r="C508" t="s">
        <v>29</v>
      </c>
      <c r="D508" t="s">
        <v>44</v>
      </c>
      <c r="E508" t="s">
        <v>41</v>
      </c>
      <c r="F508">
        <v>35</v>
      </c>
      <c r="G508">
        <v>1032</v>
      </c>
      <c r="H508" t="s">
        <v>36</v>
      </c>
      <c r="I508" t="s">
        <v>23</v>
      </c>
      <c r="J508" s="1">
        <v>45768</v>
      </c>
      <c r="K508" t="s">
        <v>27</v>
      </c>
      <c r="L508" t="s">
        <v>31</v>
      </c>
      <c r="M508" t="s">
        <v>31</v>
      </c>
      <c r="N508">
        <v>2</v>
      </c>
      <c r="O508">
        <v>6</v>
      </c>
      <c r="P508">
        <v>70</v>
      </c>
      <c r="Q508" t="s">
        <v>24</v>
      </c>
      <c r="R508">
        <f>IF(tblSubscriptions[[#This Row],[churned]] = "Yes",1,0)</f>
        <v>0</v>
      </c>
      <c r="S508">
        <f t="shared" si="35"/>
        <v>0</v>
      </c>
      <c r="T508">
        <f t="shared" si="36"/>
        <v>1</v>
      </c>
      <c r="U508">
        <f t="shared" si="37"/>
        <v>0</v>
      </c>
      <c r="V508">
        <f t="shared" si="38"/>
        <v>1</v>
      </c>
      <c r="W508" t="str">
        <f t="shared" si="39"/>
        <v>Medium Risk</v>
      </c>
    </row>
    <row r="509" spans="1:23">
      <c r="A509" t="s">
        <v>804</v>
      </c>
      <c r="B509" t="s">
        <v>33</v>
      </c>
      <c r="C509" t="s">
        <v>29</v>
      </c>
      <c r="D509" t="s">
        <v>34</v>
      </c>
      <c r="E509" t="s">
        <v>21</v>
      </c>
      <c r="F509">
        <v>54</v>
      </c>
      <c r="G509">
        <v>221</v>
      </c>
      <c r="H509" t="s">
        <v>48</v>
      </c>
      <c r="I509" t="s">
        <v>64</v>
      </c>
      <c r="J509" s="1">
        <v>44630</v>
      </c>
      <c r="K509" t="s">
        <v>24</v>
      </c>
      <c r="L509" t="s">
        <v>805</v>
      </c>
      <c r="M509" t="s">
        <v>66</v>
      </c>
      <c r="N509">
        <v>3</v>
      </c>
      <c r="O509">
        <v>2</v>
      </c>
      <c r="P509">
        <v>33</v>
      </c>
      <c r="Q509" t="s">
        <v>27</v>
      </c>
      <c r="R509">
        <f>IF(tblSubscriptions[[#This Row],[churned]] = "Yes",1,0)</f>
        <v>1</v>
      </c>
      <c r="S509">
        <f t="shared" si="35"/>
        <v>1</v>
      </c>
      <c r="T509">
        <f t="shared" si="36"/>
        <v>1</v>
      </c>
      <c r="U509">
        <f t="shared" si="37"/>
        <v>0</v>
      </c>
      <c r="V509">
        <f t="shared" si="38"/>
        <v>2</v>
      </c>
      <c r="W509" t="str">
        <f t="shared" si="39"/>
        <v>High Risk</v>
      </c>
    </row>
    <row r="510" spans="1:23">
      <c r="A510" t="s">
        <v>806</v>
      </c>
      <c r="B510" t="s">
        <v>33</v>
      </c>
      <c r="C510" t="s">
        <v>19</v>
      </c>
      <c r="D510" t="s">
        <v>73</v>
      </c>
      <c r="E510" t="s">
        <v>35</v>
      </c>
      <c r="F510">
        <v>56</v>
      </c>
      <c r="G510">
        <v>268</v>
      </c>
      <c r="H510" t="s">
        <v>48</v>
      </c>
      <c r="I510" t="s">
        <v>84</v>
      </c>
      <c r="J510" s="1">
        <v>45058</v>
      </c>
      <c r="K510" t="s">
        <v>24</v>
      </c>
      <c r="L510" t="s">
        <v>807</v>
      </c>
      <c r="M510" t="s">
        <v>58</v>
      </c>
      <c r="N510">
        <v>12</v>
      </c>
      <c r="O510">
        <v>2</v>
      </c>
      <c r="P510">
        <v>17</v>
      </c>
      <c r="Q510" t="s">
        <v>27</v>
      </c>
      <c r="R510">
        <f>IF(tblSubscriptions[[#This Row],[churned]] = "Yes",1,0)</f>
        <v>1</v>
      </c>
      <c r="S510">
        <f t="shared" si="35"/>
        <v>1</v>
      </c>
      <c r="T510">
        <f t="shared" si="36"/>
        <v>1</v>
      </c>
      <c r="U510">
        <f t="shared" si="37"/>
        <v>1</v>
      </c>
      <c r="V510">
        <f t="shared" si="38"/>
        <v>3</v>
      </c>
      <c r="W510" t="str">
        <f t="shared" si="39"/>
        <v>High Risk</v>
      </c>
    </row>
    <row r="511" spans="1:23">
      <c r="A511" t="s">
        <v>808</v>
      </c>
      <c r="B511" t="s">
        <v>39</v>
      </c>
      <c r="C511" t="s">
        <v>19</v>
      </c>
      <c r="D511" t="s">
        <v>73</v>
      </c>
      <c r="E511" t="s">
        <v>41</v>
      </c>
      <c r="F511">
        <v>27</v>
      </c>
      <c r="G511">
        <v>975</v>
      </c>
      <c r="H511" t="s">
        <v>48</v>
      </c>
      <c r="I511" t="s">
        <v>64</v>
      </c>
      <c r="J511" s="1">
        <v>45530</v>
      </c>
      <c r="K511" t="s">
        <v>24</v>
      </c>
      <c r="L511" t="s">
        <v>809</v>
      </c>
      <c r="M511" t="s">
        <v>58</v>
      </c>
      <c r="N511">
        <v>9</v>
      </c>
      <c r="O511">
        <v>2</v>
      </c>
      <c r="P511">
        <v>24</v>
      </c>
      <c r="Q511" t="s">
        <v>27</v>
      </c>
      <c r="R511">
        <f>IF(tblSubscriptions[[#This Row],[churned]] = "Yes",1,0)</f>
        <v>1</v>
      </c>
      <c r="S511">
        <f t="shared" si="35"/>
        <v>1</v>
      </c>
      <c r="T511">
        <f t="shared" si="36"/>
        <v>1</v>
      </c>
      <c r="U511">
        <f t="shared" si="37"/>
        <v>0</v>
      </c>
      <c r="V511">
        <f t="shared" si="38"/>
        <v>2</v>
      </c>
      <c r="W511" t="str">
        <f t="shared" si="39"/>
        <v>High Risk</v>
      </c>
    </row>
    <row r="512" spans="1:23">
      <c r="A512" t="s">
        <v>810</v>
      </c>
      <c r="B512" t="s">
        <v>18</v>
      </c>
      <c r="C512" t="s">
        <v>19</v>
      </c>
      <c r="D512" t="s">
        <v>73</v>
      </c>
      <c r="E512" t="s">
        <v>41</v>
      </c>
      <c r="F512">
        <v>25</v>
      </c>
      <c r="G512">
        <v>363</v>
      </c>
      <c r="H512" t="s">
        <v>70</v>
      </c>
      <c r="I512" t="s">
        <v>23</v>
      </c>
      <c r="J512" s="1">
        <v>45923</v>
      </c>
      <c r="K512" t="s">
        <v>27</v>
      </c>
      <c r="L512" t="s">
        <v>31</v>
      </c>
      <c r="M512" t="s">
        <v>31</v>
      </c>
      <c r="N512">
        <v>6</v>
      </c>
      <c r="O512">
        <v>4</v>
      </c>
      <c r="P512">
        <v>30</v>
      </c>
      <c r="Q512" t="s">
        <v>27</v>
      </c>
      <c r="R512">
        <f>IF(tblSubscriptions[[#This Row],[churned]] = "Yes",1,0)</f>
        <v>0</v>
      </c>
      <c r="S512">
        <f t="shared" si="35"/>
        <v>1</v>
      </c>
      <c r="T512">
        <f t="shared" si="36"/>
        <v>1</v>
      </c>
      <c r="U512">
        <f t="shared" si="37"/>
        <v>0</v>
      </c>
      <c r="V512">
        <f t="shared" si="38"/>
        <v>2</v>
      </c>
      <c r="W512" t="str">
        <f t="shared" si="39"/>
        <v>High Risk</v>
      </c>
    </row>
    <row r="513" spans="1:23">
      <c r="A513" t="s">
        <v>811</v>
      </c>
      <c r="B513" t="s">
        <v>33</v>
      </c>
      <c r="C513" t="s">
        <v>29</v>
      </c>
      <c r="D513" t="s">
        <v>97</v>
      </c>
      <c r="E513" t="s">
        <v>21</v>
      </c>
      <c r="F513">
        <v>26</v>
      </c>
      <c r="G513">
        <v>117</v>
      </c>
      <c r="H513" t="s">
        <v>48</v>
      </c>
      <c r="I513" t="s">
        <v>42</v>
      </c>
      <c r="J513" s="1">
        <v>44943</v>
      </c>
      <c r="K513" t="s">
        <v>24</v>
      </c>
      <c r="L513" t="s">
        <v>812</v>
      </c>
      <c r="M513" t="s">
        <v>62</v>
      </c>
      <c r="N513">
        <v>15</v>
      </c>
      <c r="O513">
        <v>2</v>
      </c>
      <c r="P513">
        <v>36</v>
      </c>
      <c r="Q513" t="s">
        <v>27</v>
      </c>
      <c r="R513">
        <f>IF(tblSubscriptions[[#This Row],[churned]] = "Yes",1,0)</f>
        <v>1</v>
      </c>
      <c r="S513">
        <f t="shared" si="35"/>
        <v>1</v>
      </c>
      <c r="T513">
        <f t="shared" si="36"/>
        <v>1</v>
      </c>
      <c r="U513">
        <f t="shared" si="37"/>
        <v>1</v>
      </c>
      <c r="V513">
        <f t="shared" si="38"/>
        <v>3</v>
      </c>
      <c r="W513" t="str">
        <f t="shared" si="39"/>
        <v>High Risk</v>
      </c>
    </row>
    <row r="514" spans="1:23">
      <c r="A514" t="s">
        <v>813</v>
      </c>
      <c r="B514" t="s">
        <v>18</v>
      </c>
      <c r="C514" t="s">
        <v>29</v>
      </c>
      <c r="D514" t="s">
        <v>73</v>
      </c>
      <c r="E514" t="s">
        <v>47</v>
      </c>
      <c r="F514">
        <v>8</v>
      </c>
      <c r="G514">
        <v>138</v>
      </c>
      <c r="H514" t="s">
        <v>48</v>
      </c>
      <c r="I514" t="s">
        <v>23</v>
      </c>
      <c r="J514" s="1">
        <v>45311</v>
      </c>
      <c r="K514" t="s">
        <v>24</v>
      </c>
      <c r="L514" t="s">
        <v>814</v>
      </c>
      <c r="M514" t="s">
        <v>66</v>
      </c>
      <c r="N514">
        <v>6</v>
      </c>
      <c r="O514">
        <v>5</v>
      </c>
      <c r="P514">
        <v>13</v>
      </c>
      <c r="Q514" t="s">
        <v>27</v>
      </c>
      <c r="R514">
        <f>IF(tblSubscriptions[[#This Row],[churned]] = "Yes",1,0)</f>
        <v>1</v>
      </c>
      <c r="S514">
        <f t="shared" ref="S514:S577" si="40">IF(P514&lt;50,1,0)</f>
        <v>1</v>
      </c>
      <c r="T514">
        <f t="shared" ref="T514:T577" si="41">IF(O514&lt;=6,1,0)</f>
        <v>1</v>
      </c>
      <c r="U514">
        <f t="shared" ref="U514:U577" si="42">IF(N514&gt;=11,1,0)</f>
        <v>0</v>
      </c>
      <c r="V514">
        <f t="shared" ref="V514:V577" si="43">S514+T514+U514</f>
        <v>2</v>
      </c>
      <c r="W514" t="str">
        <f t="shared" ref="W514:W577" si="44">IF(V514&gt;=2,"High Risk",IF(V514=1,"Medium Risk","Low Risk"))</f>
        <v>High Risk</v>
      </c>
    </row>
    <row r="515" spans="1:23">
      <c r="A515" t="s">
        <v>815</v>
      </c>
      <c r="B515" t="s">
        <v>39</v>
      </c>
      <c r="C515" t="s">
        <v>19</v>
      </c>
      <c r="D515" t="s">
        <v>34</v>
      </c>
      <c r="E515" t="s">
        <v>50</v>
      </c>
      <c r="F515">
        <v>68</v>
      </c>
      <c r="G515">
        <v>2199</v>
      </c>
      <c r="H515" t="s">
        <v>70</v>
      </c>
      <c r="I515" t="s">
        <v>84</v>
      </c>
      <c r="J515" s="1">
        <v>45318</v>
      </c>
      <c r="K515" t="s">
        <v>24</v>
      </c>
      <c r="L515" t="s">
        <v>816</v>
      </c>
      <c r="M515" t="s">
        <v>62</v>
      </c>
      <c r="N515">
        <v>15</v>
      </c>
      <c r="O515">
        <v>1</v>
      </c>
      <c r="P515">
        <v>19</v>
      </c>
      <c r="Q515" t="s">
        <v>27</v>
      </c>
      <c r="R515">
        <f>IF(tblSubscriptions[[#This Row],[churned]] = "Yes",1,0)</f>
        <v>1</v>
      </c>
      <c r="S515">
        <f t="shared" si="40"/>
        <v>1</v>
      </c>
      <c r="T515">
        <f t="shared" si="41"/>
        <v>1</v>
      </c>
      <c r="U515">
        <f t="shared" si="42"/>
        <v>1</v>
      </c>
      <c r="V515">
        <f t="shared" si="43"/>
        <v>3</v>
      </c>
      <c r="W515" t="str">
        <f t="shared" si="44"/>
        <v>High Risk</v>
      </c>
    </row>
    <row r="516" spans="1:23">
      <c r="A516" t="s">
        <v>817</v>
      </c>
      <c r="B516" t="s">
        <v>87</v>
      </c>
      <c r="C516" t="s">
        <v>19</v>
      </c>
      <c r="D516" t="s">
        <v>34</v>
      </c>
      <c r="E516" t="s">
        <v>47</v>
      </c>
      <c r="F516">
        <v>2</v>
      </c>
      <c r="G516">
        <v>574</v>
      </c>
      <c r="H516" t="s">
        <v>22</v>
      </c>
      <c r="I516" t="s">
        <v>23</v>
      </c>
      <c r="J516" s="1">
        <v>44652</v>
      </c>
      <c r="K516" t="s">
        <v>27</v>
      </c>
      <c r="L516" t="s">
        <v>31</v>
      </c>
      <c r="M516" t="s">
        <v>31</v>
      </c>
      <c r="N516">
        <v>7</v>
      </c>
      <c r="O516">
        <v>8</v>
      </c>
      <c r="P516">
        <v>28</v>
      </c>
      <c r="Q516" t="s">
        <v>27</v>
      </c>
      <c r="R516">
        <f>IF(tblSubscriptions[[#This Row],[churned]] = "Yes",1,0)</f>
        <v>0</v>
      </c>
      <c r="S516">
        <f t="shared" si="40"/>
        <v>1</v>
      </c>
      <c r="T516">
        <f t="shared" si="41"/>
        <v>0</v>
      </c>
      <c r="U516">
        <f t="shared" si="42"/>
        <v>0</v>
      </c>
      <c r="V516">
        <f t="shared" si="43"/>
        <v>1</v>
      </c>
      <c r="W516" t="str">
        <f t="shared" si="44"/>
        <v>Medium Risk</v>
      </c>
    </row>
    <row r="517" spans="1:23">
      <c r="A517" t="s">
        <v>818</v>
      </c>
      <c r="B517" t="s">
        <v>39</v>
      </c>
      <c r="C517" t="s">
        <v>19</v>
      </c>
      <c r="D517" t="s">
        <v>73</v>
      </c>
      <c r="E517" t="s">
        <v>21</v>
      </c>
      <c r="F517">
        <v>42</v>
      </c>
      <c r="G517">
        <v>1423</v>
      </c>
      <c r="H517" t="s">
        <v>36</v>
      </c>
      <c r="I517" t="s">
        <v>42</v>
      </c>
      <c r="J517" s="1">
        <v>45612</v>
      </c>
      <c r="K517" t="s">
        <v>27</v>
      </c>
      <c r="L517" t="s">
        <v>31</v>
      </c>
      <c r="M517" t="s">
        <v>31</v>
      </c>
      <c r="N517">
        <v>10</v>
      </c>
      <c r="O517">
        <v>2</v>
      </c>
      <c r="P517">
        <v>17</v>
      </c>
      <c r="Q517" t="s">
        <v>27</v>
      </c>
      <c r="R517">
        <f>IF(tblSubscriptions[[#This Row],[churned]] = "Yes",1,0)</f>
        <v>0</v>
      </c>
      <c r="S517">
        <f t="shared" si="40"/>
        <v>1</v>
      </c>
      <c r="T517">
        <f t="shared" si="41"/>
        <v>1</v>
      </c>
      <c r="U517">
        <f t="shared" si="42"/>
        <v>0</v>
      </c>
      <c r="V517">
        <f t="shared" si="43"/>
        <v>2</v>
      </c>
      <c r="W517" t="str">
        <f t="shared" si="44"/>
        <v>High Risk</v>
      </c>
    </row>
    <row r="518" spans="1:23">
      <c r="A518" t="s">
        <v>819</v>
      </c>
      <c r="B518" t="s">
        <v>18</v>
      </c>
      <c r="C518" t="s">
        <v>19</v>
      </c>
      <c r="D518" t="s">
        <v>60</v>
      </c>
      <c r="E518" t="s">
        <v>21</v>
      </c>
      <c r="F518">
        <v>59</v>
      </c>
      <c r="G518">
        <v>766</v>
      </c>
      <c r="H518" t="s">
        <v>124</v>
      </c>
      <c r="I518" t="s">
        <v>42</v>
      </c>
      <c r="J518" s="1">
        <v>45412</v>
      </c>
      <c r="K518" t="s">
        <v>24</v>
      </c>
      <c r="L518" t="s">
        <v>820</v>
      </c>
      <c r="M518" t="s">
        <v>66</v>
      </c>
      <c r="N518">
        <v>12</v>
      </c>
      <c r="O518">
        <v>4</v>
      </c>
      <c r="P518">
        <v>42</v>
      </c>
      <c r="Q518" t="s">
        <v>27</v>
      </c>
      <c r="R518">
        <f>IF(tblSubscriptions[[#This Row],[churned]] = "Yes",1,0)</f>
        <v>1</v>
      </c>
      <c r="S518">
        <f t="shared" si="40"/>
        <v>1</v>
      </c>
      <c r="T518">
        <f t="shared" si="41"/>
        <v>1</v>
      </c>
      <c r="U518">
        <f t="shared" si="42"/>
        <v>1</v>
      </c>
      <c r="V518">
        <f t="shared" si="43"/>
        <v>3</v>
      </c>
      <c r="W518" t="str">
        <f t="shared" si="44"/>
        <v>High Risk</v>
      </c>
    </row>
    <row r="519" spans="1:23">
      <c r="A519" t="s">
        <v>821</v>
      </c>
      <c r="B519" t="s">
        <v>33</v>
      </c>
      <c r="C519" t="s">
        <v>29</v>
      </c>
      <c r="D519" t="s">
        <v>44</v>
      </c>
      <c r="E519" t="s">
        <v>41</v>
      </c>
      <c r="F519">
        <v>21</v>
      </c>
      <c r="G519">
        <v>99</v>
      </c>
      <c r="H519" t="s">
        <v>70</v>
      </c>
      <c r="I519" t="s">
        <v>23</v>
      </c>
      <c r="J519" s="1">
        <v>45797</v>
      </c>
      <c r="K519" t="s">
        <v>27</v>
      </c>
      <c r="L519" t="s">
        <v>31</v>
      </c>
      <c r="M519" t="s">
        <v>31</v>
      </c>
      <c r="N519">
        <v>4</v>
      </c>
      <c r="O519">
        <v>7</v>
      </c>
      <c r="P519">
        <v>71</v>
      </c>
      <c r="Q519" t="s">
        <v>27</v>
      </c>
      <c r="R519">
        <f>IF(tblSubscriptions[[#This Row],[churned]] = "Yes",1,0)</f>
        <v>0</v>
      </c>
      <c r="S519">
        <f t="shared" si="40"/>
        <v>0</v>
      </c>
      <c r="T519">
        <f t="shared" si="41"/>
        <v>0</v>
      </c>
      <c r="U519">
        <f t="shared" si="42"/>
        <v>0</v>
      </c>
      <c r="V519">
        <f t="shared" si="43"/>
        <v>0</v>
      </c>
      <c r="W519" t="str">
        <f t="shared" si="44"/>
        <v>Low Risk</v>
      </c>
    </row>
    <row r="520" spans="1:23">
      <c r="A520" t="s">
        <v>822</v>
      </c>
      <c r="B520" t="s">
        <v>39</v>
      </c>
      <c r="C520" t="s">
        <v>29</v>
      </c>
      <c r="D520" t="s">
        <v>56</v>
      </c>
      <c r="E520" t="s">
        <v>41</v>
      </c>
      <c r="F520">
        <v>34</v>
      </c>
      <c r="G520">
        <v>1006</v>
      </c>
      <c r="H520" t="s">
        <v>70</v>
      </c>
      <c r="I520" t="s">
        <v>64</v>
      </c>
      <c r="J520" s="1">
        <v>44791</v>
      </c>
      <c r="K520" t="s">
        <v>27</v>
      </c>
      <c r="L520" t="s">
        <v>31</v>
      </c>
      <c r="M520" t="s">
        <v>31</v>
      </c>
      <c r="N520">
        <v>10</v>
      </c>
      <c r="O520">
        <v>4</v>
      </c>
      <c r="P520">
        <v>84</v>
      </c>
      <c r="Q520" t="s">
        <v>27</v>
      </c>
      <c r="R520">
        <f>IF(tblSubscriptions[[#This Row],[churned]] = "Yes",1,0)</f>
        <v>0</v>
      </c>
      <c r="S520">
        <f t="shared" si="40"/>
        <v>0</v>
      </c>
      <c r="T520">
        <f t="shared" si="41"/>
        <v>1</v>
      </c>
      <c r="U520">
        <f t="shared" si="42"/>
        <v>0</v>
      </c>
      <c r="V520">
        <f t="shared" si="43"/>
        <v>1</v>
      </c>
      <c r="W520" t="str">
        <f t="shared" si="44"/>
        <v>Medium Risk</v>
      </c>
    </row>
    <row r="521" spans="1:23">
      <c r="A521" t="s">
        <v>823</v>
      </c>
      <c r="B521" t="s">
        <v>18</v>
      </c>
      <c r="C521" t="s">
        <v>19</v>
      </c>
      <c r="D521" t="s">
        <v>60</v>
      </c>
      <c r="E521" t="s">
        <v>41</v>
      </c>
      <c r="F521">
        <v>31</v>
      </c>
      <c r="G521">
        <v>435</v>
      </c>
      <c r="H521" t="s">
        <v>70</v>
      </c>
      <c r="I521" t="s">
        <v>42</v>
      </c>
      <c r="J521" s="1">
        <v>44724</v>
      </c>
      <c r="K521" t="s">
        <v>24</v>
      </c>
      <c r="L521" t="s">
        <v>824</v>
      </c>
      <c r="M521" t="s">
        <v>58</v>
      </c>
      <c r="N521">
        <v>10</v>
      </c>
      <c r="O521">
        <v>4</v>
      </c>
      <c r="P521">
        <v>20</v>
      </c>
      <c r="Q521" t="s">
        <v>27</v>
      </c>
      <c r="R521">
        <f>IF(tblSubscriptions[[#This Row],[churned]] = "Yes",1,0)</f>
        <v>1</v>
      </c>
      <c r="S521">
        <f t="shared" si="40"/>
        <v>1</v>
      </c>
      <c r="T521">
        <f t="shared" si="41"/>
        <v>1</v>
      </c>
      <c r="U521">
        <f t="shared" si="42"/>
        <v>0</v>
      </c>
      <c r="V521">
        <f t="shared" si="43"/>
        <v>2</v>
      </c>
      <c r="W521" t="str">
        <f t="shared" si="44"/>
        <v>High Risk</v>
      </c>
    </row>
    <row r="522" spans="1:23">
      <c r="A522" t="s">
        <v>825</v>
      </c>
      <c r="B522" t="s">
        <v>87</v>
      </c>
      <c r="C522" t="s">
        <v>19</v>
      </c>
      <c r="D522" t="s">
        <v>34</v>
      </c>
      <c r="E522" t="s">
        <v>47</v>
      </c>
      <c r="F522">
        <v>4</v>
      </c>
      <c r="G522">
        <v>724</v>
      </c>
      <c r="H522" t="s">
        <v>22</v>
      </c>
      <c r="I522" t="s">
        <v>64</v>
      </c>
      <c r="J522" s="1">
        <v>45505</v>
      </c>
      <c r="K522" t="s">
        <v>24</v>
      </c>
      <c r="L522" t="s">
        <v>826</v>
      </c>
      <c r="M522" t="s">
        <v>66</v>
      </c>
      <c r="N522">
        <v>5</v>
      </c>
      <c r="O522">
        <v>6</v>
      </c>
      <c r="P522">
        <v>31</v>
      </c>
      <c r="Q522" t="s">
        <v>27</v>
      </c>
      <c r="R522">
        <f>IF(tblSubscriptions[[#This Row],[churned]] = "Yes",1,0)</f>
        <v>1</v>
      </c>
      <c r="S522">
        <f t="shared" si="40"/>
        <v>1</v>
      </c>
      <c r="T522">
        <f t="shared" si="41"/>
        <v>1</v>
      </c>
      <c r="U522">
        <f t="shared" si="42"/>
        <v>0</v>
      </c>
      <c r="V522">
        <f t="shared" si="43"/>
        <v>2</v>
      </c>
      <c r="W522" t="str">
        <f t="shared" si="44"/>
        <v>High Risk</v>
      </c>
    </row>
    <row r="523" spans="1:23">
      <c r="A523" t="s">
        <v>827</v>
      </c>
      <c r="B523" t="s">
        <v>87</v>
      </c>
      <c r="C523" t="s">
        <v>19</v>
      </c>
      <c r="D523" t="s">
        <v>46</v>
      </c>
      <c r="E523" t="s">
        <v>47</v>
      </c>
      <c r="F523">
        <v>7</v>
      </c>
      <c r="G523">
        <v>948</v>
      </c>
      <c r="H523" t="s">
        <v>30</v>
      </c>
      <c r="I523" t="s">
        <v>64</v>
      </c>
      <c r="J523" s="1">
        <v>45103</v>
      </c>
      <c r="K523" t="s">
        <v>27</v>
      </c>
      <c r="L523" t="s">
        <v>31</v>
      </c>
      <c r="M523" t="s">
        <v>31</v>
      </c>
      <c r="N523">
        <v>0</v>
      </c>
      <c r="O523">
        <v>5</v>
      </c>
      <c r="P523">
        <v>83</v>
      </c>
      <c r="Q523" t="s">
        <v>27</v>
      </c>
      <c r="R523">
        <f>IF(tblSubscriptions[[#This Row],[churned]] = "Yes",1,0)</f>
        <v>0</v>
      </c>
      <c r="S523">
        <f t="shared" si="40"/>
        <v>0</v>
      </c>
      <c r="T523">
        <f t="shared" si="41"/>
        <v>1</v>
      </c>
      <c r="U523">
        <f t="shared" si="42"/>
        <v>0</v>
      </c>
      <c r="V523">
        <f t="shared" si="43"/>
        <v>1</v>
      </c>
      <c r="W523" t="str">
        <f t="shared" si="44"/>
        <v>Medium Risk</v>
      </c>
    </row>
    <row r="524" spans="1:23">
      <c r="A524" t="s">
        <v>828</v>
      </c>
      <c r="B524" t="s">
        <v>39</v>
      </c>
      <c r="C524" t="s">
        <v>19</v>
      </c>
      <c r="D524" t="s">
        <v>60</v>
      </c>
      <c r="E524" t="s">
        <v>47</v>
      </c>
      <c r="F524">
        <v>7</v>
      </c>
      <c r="G524">
        <v>378</v>
      </c>
      <c r="H524" t="s">
        <v>36</v>
      </c>
      <c r="I524" t="s">
        <v>42</v>
      </c>
      <c r="J524" s="1">
        <v>45298</v>
      </c>
      <c r="K524" t="s">
        <v>24</v>
      </c>
      <c r="L524" t="s">
        <v>829</v>
      </c>
      <c r="M524" t="s">
        <v>102</v>
      </c>
      <c r="N524">
        <v>0</v>
      </c>
      <c r="O524">
        <v>1</v>
      </c>
      <c r="P524">
        <v>36</v>
      </c>
      <c r="Q524" t="s">
        <v>27</v>
      </c>
      <c r="R524">
        <f>IF(tblSubscriptions[[#This Row],[churned]] = "Yes",1,0)</f>
        <v>1</v>
      </c>
      <c r="S524">
        <f t="shared" si="40"/>
        <v>1</v>
      </c>
      <c r="T524">
        <f t="shared" si="41"/>
        <v>1</v>
      </c>
      <c r="U524">
        <f t="shared" si="42"/>
        <v>0</v>
      </c>
      <c r="V524">
        <f t="shared" si="43"/>
        <v>2</v>
      </c>
      <c r="W524" t="str">
        <f t="shared" si="44"/>
        <v>High Risk</v>
      </c>
    </row>
    <row r="525" spans="1:23">
      <c r="A525" t="s">
        <v>830</v>
      </c>
      <c r="B525" t="s">
        <v>18</v>
      </c>
      <c r="C525" t="s">
        <v>19</v>
      </c>
      <c r="D525" t="s">
        <v>56</v>
      </c>
      <c r="E525" t="s">
        <v>21</v>
      </c>
      <c r="F525">
        <v>59</v>
      </c>
      <c r="G525">
        <v>766</v>
      </c>
      <c r="H525" t="s">
        <v>36</v>
      </c>
      <c r="I525" t="s">
        <v>23</v>
      </c>
      <c r="J525" s="1">
        <v>44599</v>
      </c>
      <c r="K525" t="s">
        <v>27</v>
      </c>
      <c r="L525" t="s">
        <v>31</v>
      </c>
      <c r="M525" t="s">
        <v>31</v>
      </c>
      <c r="N525">
        <v>2</v>
      </c>
      <c r="O525">
        <v>7</v>
      </c>
      <c r="P525">
        <v>51</v>
      </c>
      <c r="Q525" t="s">
        <v>27</v>
      </c>
      <c r="R525">
        <f>IF(tblSubscriptions[[#This Row],[churned]] = "Yes",1,0)</f>
        <v>0</v>
      </c>
      <c r="S525">
        <f t="shared" si="40"/>
        <v>0</v>
      </c>
      <c r="T525">
        <f t="shared" si="41"/>
        <v>0</v>
      </c>
      <c r="U525">
        <f t="shared" si="42"/>
        <v>0</v>
      </c>
      <c r="V525">
        <f t="shared" si="43"/>
        <v>0</v>
      </c>
      <c r="W525" t="str">
        <f t="shared" si="44"/>
        <v>Low Risk</v>
      </c>
    </row>
    <row r="526" spans="1:23">
      <c r="A526" t="s">
        <v>831</v>
      </c>
      <c r="B526" t="s">
        <v>87</v>
      </c>
      <c r="C526" t="s">
        <v>29</v>
      </c>
      <c r="D526" t="s">
        <v>44</v>
      </c>
      <c r="E526" t="s">
        <v>47</v>
      </c>
      <c r="F526">
        <v>1</v>
      </c>
      <c r="G526">
        <v>424</v>
      </c>
      <c r="H526" t="s">
        <v>70</v>
      </c>
      <c r="I526" t="s">
        <v>84</v>
      </c>
      <c r="J526" s="1">
        <v>44774</v>
      </c>
      <c r="K526" t="s">
        <v>27</v>
      </c>
      <c r="L526" t="s">
        <v>31</v>
      </c>
      <c r="M526" t="s">
        <v>31</v>
      </c>
      <c r="N526">
        <v>2</v>
      </c>
      <c r="O526">
        <v>1</v>
      </c>
      <c r="P526">
        <v>65</v>
      </c>
      <c r="Q526" t="s">
        <v>27</v>
      </c>
      <c r="R526">
        <f>IF(tblSubscriptions[[#This Row],[churned]] = "Yes",1,0)</f>
        <v>0</v>
      </c>
      <c r="S526">
        <f t="shared" si="40"/>
        <v>0</v>
      </c>
      <c r="T526">
        <f t="shared" si="41"/>
        <v>1</v>
      </c>
      <c r="U526">
        <f t="shared" si="42"/>
        <v>0</v>
      </c>
      <c r="V526">
        <f t="shared" si="43"/>
        <v>1</v>
      </c>
      <c r="W526" t="str">
        <f t="shared" si="44"/>
        <v>Medium Risk</v>
      </c>
    </row>
    <row r="527" spans="1:23">
      <c r="A527" t="s">
        <v>832</v>
      </c>
      <c r="B527" t="s">
        <v>18</v>
      </c>
      <c r="C527" t="s">
        <v>19</v>
      </c>
      <c r="D527" t="s">
        <v>40</v>
      </c>
      <c r="E527" t="s">
        <v>47</v>
      </c>
      <c r="F527">
        <v>8</v>
      </c>
      <c r="G527">
        <v>162</v>
      </c>
      <c r="H527" t="s">
        <v>70</v>
      </c>
      <c r="I527" t="s">
        <v>84</v>
      </c>
      <c r="J527" s="1">
        <v>45047</v>
      </c>
      <c r="K527" t="s">
        <v>24</v>
      </c>
      <c r="L527" t="s">
        <v>833</v>
      </c>
      <c r="M527" t="s">
        <v>62</v>
      </c>
      <c r="N527">
        <v>3</v>
      </c>
      <c r="O527">
        <v>1</v>
      </c>
      <c r="P527">
        <v>27</v>
      </c>
      <c r="Q527" t="s">
        <v>27</v>
      </c>
      <c r="R527">
        <f>IF(tblSubscriptions[[#This Row],[churned]] = "Yes",1,0)</f>
        <v>1</v>
      </c>
      <c r="S527">
        <f t="shared" si="40"/>
        <v>1</v>
      </c>
      <c r="T527">
        <f t="shared" si="41"/>
        <v>1</v>
      </c>
      <c r="U527">
        <f t="shared" si="42"/>
        <v>0</v>
      </c>
      <c r="V527">
        <f t="shared" si="43"/>
        <v>2</v>
      </c>
      <c r="W527" t="str">
        <f t="shared" si="44"/>
        <v>High Risk</v>
      </c>
    </row>
    <row r="528" spans="1:23">
      <c r="A528" t="s">
        <v>834</v>
      </c>
      <c r="B528" t="s">
        <v>39</v>
      </c>
      <c r="C528" t="s">
        <v>29</v>
      </c>
      <c r="D528" t="s">
        <v>56</v>
      </c>
      <c r="E528" t="s">
        <v>50</v>
      </c>
      <c r="F528">
        <v>50</v>
      </c>
      <c r="G528">
        <v>1412</v>
      </c>
      <c r="H528" t="s">
        <v>70</v>
      </c>
      <c r="I528" t="s">
        <v>42</v>
      </c>
      <c r="J528" s="1">
        <v>45943</v>
      </c>
      <c r="K528" t="s">
        <v>27</v>
      </c>
      <c r="L528" t="s">
        <v>31</v>
      </c>
      <c r="M528" t="s">
        <v>31</v>
      </c>
      <c r="N528">
        <v>12</v>
      </c>
      <c r="O528">
        <v>5</v>
      </c>
      <c r="P528">
        <v>91</v>
      </c>
      <c r="Q528" t="s">
        <v>27</v>
      </c>
      <c r="R528">
        <f>IF(tblSubscriptions[[#This Row],[churned]] = "Yes",1,0)</f>
        <v>0</v>
      </c>
      <c r="S528">
        <f t="shared" si="40"/>
        <v>0</v>
      </c>
      <c r="T528">
        <f t="shared" si="41"/>
        <v>1</v>
      </c>
      <c r="U528">
        <f t="shared" si="42"/>
        <v>1</v>
      </c>
      <c r="V528">
        <f t="shared" si="43"/>
        <v>2</v>
      </c>
      <c r="W528" t="str">
        <f t="shared" si="44"/>
        <v>High Risk</v>
      </c>
    </row>
    <row r="529" spans="1:23">
      <c r="A529" t="s">
        <v>835</v>
      </c>
      <c r="B529" t="s">
        <v>33</v>
      </c>
      <c r="C529" t="s">
        <v>19</v>
      </c>
      <c r="D529" t="s">
        <v>83</v>
      </c>
      <c r="E529" t="s">
        <v>47</v>
      </c>
      <c r="F529">
        <v>7</v>
      </c>
      <c r="G529">
        <v>55</v>
      </c>
      <c r="H529" t="s">
        <v>48</v>
      </c>
      <c r="I529" t="s">
        <v>64</v>
      </c>
      <c r="J529" s="1">
        <v>45276</v>
      </c>
      <c r="K529" t="s">
        <v>24</v>
      </c>
      <c r="L529" t="s">
        <v>836</v>
      </c>
      <c r="M529" t="s">
        <v>66</v>
      </c>
      <c r="N529">
        <v>6</v>
      </c>
      <c r="O529">
        <v>3</v>
      </c>
      <c r="P529">
        <v>36</v>
      </c>
      <c r="Q529" t="s">
        <v>27</v>
      </c>
      <c r="R529">
        <f>IF(tblSubscriptions[[#This Row],[churned]] = "Yes",1,0)</f>
        <v>1</v>
      </c>
      <c r="S529">
        <f t="shared" si="40"/>
        <v>1</v>
      </c>
      <c r="T529">
        <f t="shared" si="41"/>
        <v>1</v>
      </c>
      <c r="U529">
        <f t="shared" si="42"/>
        <v>0</v>
      </c>
      <c r="V529">
        <f t="shared" si="43"/>
        <v>2</v>
      </c>
      <c r="W529" t="str">
        <f t="shared" si="44"/>
        <v>High Risk</v>
      </c>
    </row>
    <row r="530" spans="1:23">
      <c r="A530" t="s">
        <v>837</v>
      </c>
      <c r="B530" t="s">
        <v>39</v>
      </c>
      <c r="C530" t="s">
        <v>29</v>
      </c>
      <c r="D530" t="s">
        <v>97</v>
      </c>
      <c r="E530" t="s">
        <v>21</v>
      </c>
      <c r="F530">
        <v>49</v>
      </c>
      <c r="G530">
        <v>1387</v>
      </c>
      <c r="H530" t="s">
        <v>48</v>
      </c>
      <c r="I530" t="s">
        <v>84</v>
      </c>
      <c r="J530" s="1">
        <v>45714</v>
      </c>
      <c r="K530" t="s">
        <v>27</v>
      </c>
      <c r="L530" t="s">
        <v>31</v>
      </c>
      <c r="M530" t="s">
        <v>31</v>
      </c>
      <c r="N530">
        <v>12</v>
      </c>
      <c r="O530">
        <v>9</v>
      </c>
      <c r="P530">
        <v>82</v>
      </c>
      <c r="Q530" t="s">
        <v>27</v>
      </c>
      <c r="R530">
        <f>IF(tblSubscriptions[[#This Row],[churned]] = "Yes",1,0)</f>
        <v>0</v>
      </c>
      <c r="S530">
        <f t="shared" si="40"/>
        <v>0</v>
      </c>
      <c r="T530">
        <f t="shared" si="41"/>
        <v>0</v>
      </c>
      <c r="U530">
        <f t="shared" si="42"/>
        <v>1</v>
      </c>
      <c r="V530">
        <f t="shared" si="43"/>
        <v>1</v>
      </c>
      <c r="W530" t="str">
        <f t="shared" si="44"/>
        <v>Medium Risk</v>
      </c>
    </row>
    <row r="531" spans="1:23">
      <c r="A531" t="s">
        <v>838</v>
      </c>
      <c r="B531" t="s">
        <v>87</v>
      </c>
      <c r="C531" t="s">
        <v>19</v>
      </c>
      <c r="D531" t="s">
        <v>83</v>
      </c>
      <c r="E531" t="s">
        <v>41</v>
      </c>
      <c r="F531">
        <v>31</v>
      </c>
      <c r="G531">
        <v>2745</v>
      </c>
      <c r="H531" t="s">
        <v>36</v>
      </c>
      <c r="I531" t="s">
        <v>42</v>
      </c>
      <c r="J531" s="1">
        <v>45044</v>
      </c>
      <c r="K531" t="s">
        <v>27</v>
      </c>
      <c r="L531" t="s">
        <v>31</v>
      </c>
      <c r="M531" t="s">
        <v>31</v>
      </c>
      <c r="N531">
        <v>11</v>
      </c>
      <c r="O531">
        <v>3</v>
      </c>
      <c r="P531">
        <v>15</v>
      </c>
      <c r="Q531" t="s">
        <v>27</v>
      </c>
      <c r="R531">
        <f>IF(tblSubscriptions[[#This Row],[churned]] = "Yes",1,0)</f>
        <v>0</v>
      </c>
      <c r="S531">
        <f t="shared" si="40"/>
        <v>1</v>
      </c>
      <c r="T531">
        <f t="shared" si="41"/>
        <v>1</v>
      </c>
      <c r="U531">
        <f t="shared" si="42"/>
        <v>1</v>
      </c>
      <c r="V531">
        <f t="shared" si="43"/>
        <v>3</v>
      </c>
      <c r="W531" t="str">
        <f t="shared" si="44"/>
        <v>High Risk</v>
      </c>
    </row>
    <row r="532" spans="1:23">
      <c r="A532" t="s">
        <v>839</v>
      </c>
      <c r="B532" t="s">
        <v>18</v>
      </c>
      <c r="C532" t="s">
        <v>19</v>
      </c>
      <c r="D532" t="s">
        <v>40</v>
      </c>
      <c r="E532" t="s">
        <v>41</v>
      </c>
      <c r="F532">
        <v>20</v>
      </c>
      <c r="G532">
        <v>304</v>
      </c>
      <c r="H532" t="s">
        <v>22</v>
      </c>
      <c r="I532" t="s">
        <v>23</v>
      </c>
      <c r="J532" s="1">
        <v>45150</v>
      </c>
      <c r="K532" t="s">
        <v>27</v>
      </c>
      <c r="L532" t="s">
        <v>31</v>
      </c>
      <c r="M532" t="s">
        <v>31</v>
      </c>
      <c r="N532">
        <v>10</v>
      </c>
      <c r="O532">
        <v>1</v>
      </c>
      <c r="P532">
        <v>76</v>
      </c>
      <c r="Q532" t="s">
        <v>27</v>
      </c>
      <c r="R532">
        <f>IF(tblSubscriptions[[#This Row],[churned]] = "Yes",1,0)</f>
        <v>0</v>
      </c>
      <c r="S532">
        <f t="shared" si="40"/>
        <v>0</v>
      </c>
      <c r="T532">
        <f t="shared" si="41"/>
        <v>1</v>
      </c>
      <c r="U532">
        <f t="shared" si="42"/>
        <v>0</v>
      </c>
      <c r="V532">
        <f t="shared" si="43"/>
        <v>1</v>
      </c>
      <c r="W532" t="str">
        <f t="shared" si="44"/>
        <v>Medium Risk</v>
      </c>
    </row>
    <row r="533" spans="1:23">
      <c r="A533" t="s">
        <v>840</v>
      </c>
      <c r="B533" t="s">
        <v>33</v>
      </c>
      <c r="C533" t="s">
        <v>29</v>
      </c>
      <c r="D533" t="s">
        <v>83</v>
      </c>
      <c r="E533" t="s">
        <v>21</v>
      </c>
      <c r="F533">
        <v>67</v>
      </c>
      <c r="G533">
        <v>269</v>
      </c>
      <c r="H533" t="s">
        <v>36</v>
      </c>
      <c r="I533" t="s">
        <v>64</v>
      </c>
      <c r="J533" s="1">
        <v>45523</v>
      </c>
      <c r="K533" t="s">
        <v>27</v>
      </c>
      <c r="L533" t="s">
        <v>31</v>
      </c>
      <c r="M533" t="s">
        <v>31</v>
      </c>
      <c r="N533">
        <v>3</v>
      </c>
      <c r="O533">
        <v>6</v>
      </c>
      <c r="P533">
        <v>55</v>
      </c>
      <c r="Q533" t="s">
        <v>27</v>
      </c>
      <c r="R533">
        <f>IF(tblSubscriptions[[#This Row],[churned]] = "Yes",1,0)</f>
        <v>0</v>
      </c>
      <c r="S533">
        <f t="shared" si="40"/>
        <v>0</v>
      </c>
      <c r="T533">
        <f t="shared" si="41"/>
        <v>1</v>
      </c>
      <c r="U533">
        <f t="shared" si="42"/>
        <v>0</v>
      </c>
      <c r="V533">
        <f t="shared" si="43"/>
        <v>1</v>
      </c>
      <c r="W533" t="str">
        <f t="shared" si="44"/>
        <v>Medium Risk</v>
      </c>
    </row>
    <row r="534" spans="1:23">
      <c r="A534" t="s">
        <v>841</v>
      </c>
      <c r="B534" t="s">
        <v>87</v>
      </c>
      <c r="C534" t="s">
        <v>19</v>
      </c>
      <c r="D534" t="s">
        <v>60</v>
      </c>
      <c r="E534" t="s">
        <v>50</v>
      </c>
      <c r="F534">
        <v>85</v>
      </c>
      <c r="G534">
        <v>6786</v>
      </c>
      <c r="H534" t="s">
        <v>30</v>
      </c>
      <c r="I534" t="s">
        <v>42</v>
      </c>
      <c r="J534" s="1">
        <v>45490</v>
      </c>
      <c r="K534" t="s">
        <v>27</v>
      </c>
      <c r="L534" t="s">
        <v>31</v>
      </c>
      <c r="M534" t="s">
        <v>31</v>
      </c>
      <c r="N534">
        <v>4</v>
      </c>
      <c r="O534">
        <v>7</v>
      </c>
      <c r="P534">
        <v>54</v>
      </c>
      <c r="Q534" t="s">
        <v>24</v>
      </c>
      <c r="R534">
        <f>IF(tblSubscriptions[[#This Row],[churned]] = "Yes",1,0)</f>
        <v>0</v>
      </c>
      <c r="S534">
        <f t="shared" si="40"/>
        <v>0</v>
      </c>
      <c r="T534">
        <f t="shared" si="41"/>
        <v>0</v>
      </c>
      <c r="U534">
        <f t="shared" si="42"/>
        <v>0</v>
      </c>
      <c r="V534">
        <f t="shared" si="43"/>
        <v>0</v>
      </c>
      <c r="W534" t="str">
        <f t="shared" si="44"/>
        <v>Low Risk</v>
      </c>
    </row>
    <row r="535" spans="1:23">
      <c r="A535" t="s">
        <v>842</v>
      </c>
      <c r="B535" t="s">
        <v>33</v>
      </c>
      <c r="C535" t="s">
        <v>19</v>
      </c>
      <c r="D535" t="s">
        <v>40</v>
      </c>
      <c r="E535" t="s">
        <v>47</v>
      </c>
      <c r="F535">
        <v>2</v>
      </c>
      <c r="G535">
        <v>33</v>
      </c>
      <c r="H535" t="s">
        <v>22</v>
      </c>
      <c r="I535" t="s">
        <v>64</v>
      </c>
      <c r="J535" s="1">
        <v>45094</v>
      </c>
      <c r="K535" t="s">
        <v>24</v>
      </c>
      <c r="L535" t="s">
        <v>843</v>
      </c>
      <c r="M535" t="s">
        <v>66</v>
      </c>
      <c r="N535">
        <v>13</v>
      </c>
      <c r="O535">
        <v>2</v>
      </c>
      <c r="P535">
        <v>17</v>
      </c>
      <c r="Q535" t="s">
        <v>27</v>
      </c>
      <c r="R535">
        <f>IF(tblSubscriptions[[#This Row],[churned]] = "Yes",1,0)</f>
        <v>1</v>
      </c>
      <c r="S535">
        <f t="shared" si="40"/>
        <v>1</v>
      </c>
      <c r="T535">
        <f t="shared" si="41"/>
        <v>1</v>
      </c>
      <c r="U535">
        <f t="shared" si="42"/>
        <v>1</v>
      </c>
      <c r="V535">
        <f t="shared" si="43"/>
        <v>3</v>
      </c>
      <c r="W535" t="str">
        <f t="shared" si="44"/>
        <v>High Risk</v>
      </c>
    </row>
    <row r="536" spans="1:23">
      <c r="A536" t="s">
        <v>844</v>
      </c>
      <c r="B536" t="s">
        <v>87</v>
      </c>
      <c r="C536" t="s">
        <v>29</v>
      </c>
      <c r="D536" t="s">
        <v>34</v>
      </c>
      <c r="E536" t="s">
        <v>50</v>
      </c>
      <c r="F536">
        <v>52</v>
      </c>
      <c r="G536">
        <v>3669</v>
      </c>
      <c r="H536" t="s">
        <v>48</v>
      </c>
      <c r="I536" t="s">
        <v>42</v>
      </c>
      <c r="J536" s="1">
        <v>45498</v>
      </c>
      <c r="K536" t="s">
        <v>27</v>
      </c>
      <c r="L536" t="s">
        <v>31</v>
      </c>
      <c r="M536" t="s">
        <v>31</v>
      </c>
      <c r="N536">
        <v>9</v>
      </c>
      <c r="O536">
        <v>7</v>
      </c>
      <c r="P536">
        <v>93</v>
      </c>
      <c r="Q536" t="s">
        <v>27</v>
      </c>
      <c r="R536">
        <f>IF(tblSubscriptions[[#This Row],[churned]] = "Yes",1,0)</f>
        <v>0</v>
      </c>
      <c r="S536">
        <f t="shared" si="40"/>
        <v>0</v>
      </c>
      <c r="T536">
        <f t="shared" si="41"/>
        <v>0</v>
      </c>
      <c r="U536">
        <f t="shared" si="42"/>
        <v>0</v>
      </c>
      <c r="V536">
        <f t="shared" si="43"/>
        <v>0</v>
      </c>
      <c r="W536" t="str">
        <f t="shared" si="44"/>
        <v>Low Risk</v>
      </c>
    </row>
    <row r="537" spans="1:23">
      <c r="A537" t="s">
        <v>845</v>
      </c>
      <c r="B537" t="s">
        <v>33</v>
      </c>
      <c r="C537" t="s">
        <v>29</v>
      </c>
      <c r="D537" t="s">
        <v>40</v>
      </c>
      <c r="E537" t="s">
        <v>21</v>
      </c>
      <c r="F537">
        <v>58</v>
      </c>
      <c r="G537">
        <v>235</v>
      </c>
      <c r="H537" t="s">
        <v>124</v>
      </c>
      <c r="I537" t="s">
        <v>64</v>
      </c>
      <c r="J537" s="1">
        <v>44870</v>
      </c>
      <c r="K537" t="s">
        <v>24</v>
      </c>
      <c r="L537" t="s">
        <v>846</v>
      </c>
      <c r="M537" t="s">
        <v>66</v>
      </c>
      <c r="N537">
        <v>4</v>
      </c>
      <c r="O537">
        <v>5</v>
      </c>
      <c r="P537">
        <v>20</v>
      </c>
      <c r="Q537" t="s">
        <v>27</v>
      </c>
      <c r="R537">
        <f>IF(tblSubscriptions[[#This Row],[churned]] = "Yes",1,0)</f>
        <v>1</v>
      </c>
      <c r="S537">
        <f t="shared" si="40"/>
        <v>1</v>
      </c>
      <c r="T537">
        <f t="shared" si="41"/>
        <v>1</v>
      </c>
      <c r="U537">
        <f t="shared" si="42"/>
        <v>0</v>
      </c>
      <c r="V537">
        <f t="shared" si="43"/>
        <v>2</v>
      </c>
      <c r="W537" t="str">
        <f t="shared" si="44"/>
        <v>High Risk</v>
      </c>
    </row>
    <row r="538" spans="1:23">
      <c r="A538" t="s">
        <v>847</v>
      </c>
      <c r="B538" t="s">
        <v>33</v>
      </c>
      <c r="C538" t="s">
        <v>19</v>
      </c>
      <c r="D538" t="s">
        <v>83</v>
      </c>
      <c r="E538" t="s">
        <v>41</v>
      </c>
      <c r="F538">
        <v>26</v>
      </c>
      <c r="G538">
        <v>138</v>
      </c>
      <c r="H538" t="s">
        <v>70</v>
      </c>
      <c r="I538" t="s">
        <v>23</v>
      </c>
      <c r="J538" s="1">
        <v>45091</v>
      </c>
      <c r="K538" t="s">
        <v>24</v>
      </c>
      <c r="L538" t="s">
        <v>65</v>
      </c>
      <c r="M538" t="s">
        <v>26</v>
      </c>
      <c r="N538">
        <v>0</v>
      </c>
      <c r="O538">
        <v>3</v>
      </c>
      <c r="P538">
        <v>23</v>
      </c>
      <c r="Q538" t="s">
        <v>27</v>
      </c>
      <c r="R538">
        <f>IF(tblSubscriptions[[#This Row],[churned]] = "Yes",1,0)</f>
        <v>1</v>
      </c>
      <c r="S538">
        <f t="shared" si="40"/>
        <v>1</v>
      </c>
      <c r="T538">
        <f t="shared" si="41"/>
        <v>1</v>
      </c>
      <c r="U538">
        <f t="shared" si="42"/>
        <v>0</v>
      </c>
      <c r="V538">
        <f t="shared" si="43"/>
        <v>2</v>
      </c>
      <c r="W538" t="str">
        <f t="shared" si="44"/>
        <v>High Risk</v>
      </c>
    </row>
    <row r="539" spans="1:23">
      <c r="A539" t="s">
        <v>848</v>
      </c>
      <c r="B539" t="s">
        <v>18</v>
      </c>
      <c r="C539" t="s">
        <v>19</v>
      </c>
      <c r="D539" t="s">
        <v>40</v>
      </c>
      <c r="E539" t="s">
        <v>47</v>
      </c>
      <c r="F539">
        <v>8</v>
      </c>
      <c r="G539">
        <v>162</v>
      </c>
      <c r="H539" t="s">
        <v>70</v>
      </c>
      <c r="I539" t="s">
        <v>42</v>
      </c>
      <c r="J539" s="1">
        <v>45781</v>
      </c>
      <c r="K539" t="s">
        <v>24</v>
      </c>
      <c r="L539" t="s">
        <v>849</v>
      </c>
      <c r="M539" t="s">
        <v>26</v>
      </c>
      <c r="N539">
        <v>5</v>
      </c>
      <c r="O539">
        <v>2</v>
      </c>
      <c r="P539">
        <v>49</v>
      </c>
      <c r="Q539" t="s">
        <v>27</v>
      </c>
      <c r="R539">
        <f>IF(tblSubscriptions[[#This Row],[churned]] = "Yes",1,0)</f>
        <v>1</v>
      </c>
      <c r="S539">
        <f t="shared" si="40"/>
        <v>1</v>
      </c>
      <c r="T539">
        <f t="shared" si="41"/>
        <v>1</v>
      </c>
      <c r="U539">
        <f t="shared" si="42"/>
        <v>0</v>
      </c>
      <c r="V539">
        <f t="shared" si="43"/>
        <v>2</v>
      </c>
      <c r="W539" t="str">
        <f t="shared" si="44"/>
        <v>High Risk</v>
      </c>
    </row>
    <row r="540" spans="1:23">
      <c r="A540" t="s">
        <v>850</v>
      </c>
      <c r="B540" t="s">
        <v>39</v>
      </c>
      <c r="C540" t="s">
        <v>29</v>
      </c>
      <c r="D540" t="s">
        <v>60</v>
      </c>
      <c r="E540" t="s">
        <v>21</v>
      </c>
      <c r="F540">
        <v>20</v>
      </c>
      <c r="G540">
        <v>651</v>
      </c>
      <c r="H540" t="s">
        <v>124</v>
      </c>
      <c r="I540" t="s">
        <v>23</v>
      </c>
      <c r="J540" s="1">
        <v>45437</v>
      </c>
      <c r="K540" t="s">
        <v>27</v>
      </c>
      <c r="L540" t="s">
        <v>31</v>
      </c>
      <c r="M540" t="s">
        <v>31</v>
      </c>
      <c r="N540">
        <v>8</v>
      </c>
      <c r="O540">
        <v>9</v>
      </c>
      <c r="P540">
        <v>90</v>
      </c>
      <c r="Q540" t="s">
        <v>27</v>
      </c>
      <c r="R540">
        <f>IF(tblSubscriptions[[#This Row],[churned]] = "Yes",1,0)</f>
        <v>0</v>
      </c>
      <c r="S540">
        <f t="shared" si="40"/>
        <v>0</v>
      </c>
      <c r="T540">
        <f t="shared" si="41"/>
        <v>0</v>
      </c>
      <c r="U540">
        <f t="shared" si="42"/>
        <v>0</v>
      </c>
      <c r="V540">
        <f t="shared" si="43"/>
        <v>0</v>
      </c>
      <c r="W540" t="str">
        <f t="shared" si="44"/>
        <v>Low Risk</v>
      </c>
    </row>
    <row r="541" spans="1:23">
      <c r="A541" t="s">
        <v>851</v>
      </c>
      <c r="B541" t="s">
        <v>33</v>
      </c>
      <c r="C541" t="s">
        <v>19</v>
      </c>
      <c r="D541" t="s">
        <v>97</v>
      </c>
      <c r="E541" t="s">
        <v>21</v>
      </c>
      <c r="F541">
        <v>68</v>
      </c>
      <c r="G541">
        <v>320</v>
      </c>
      <c r="H541" t="s">
        <v>70</v>
      </c>
      <c r="I541" t="s">
        <v>23</v>
      </c>
      <c r="J541" s="1">
        <v>45539</v>
      </c>
      <c r="K541" t="s">
        <v>24</v>
      </c>
      <c r="L541" t="s">
        <v>826</v>
      </c>
      <c r="M541" t="s">
        <v>75</v>
      </c>
      <c r="N541">
        <v>9</v>
      </c>
      <c r="O541">
        <v>4</v>
      </c>
      <c r="P541">
        <v>50</v>
      </c>
      <c r="Q541" t="s">
        <v>27</v>
      </c>
      <c r="R541">
        <f>IF(tblSubscriptions[[#This Row],[churned]] = "Yes",1,0)</f>
        <v>1</v>
      </c>
      <c r="S541">
        <f t="shared" si="40"/>
        <v>0</v>
      </c>
      <c r="T541">
        <f t="shared" si="41"/>
        <v>1</v>
      </c>
      <c r="U541">
        <f t="shared" si="42"/>
        <v>0</v>
      </c>
      <c r="V541">
        <f t="shared" si="43"/>
        <v>1</v>
      </c>
      <c r="W541" t="str">
        <f t="shared" si="44"/>
        <v>Medium Risk</v>
      </c>
    </row>
    <row r="542" spans="1:23">
      <c r="A542" t="s">
        <v>852</v>
      </c>
      <c r="B542" t="s">
        <v>18</v>
      </c>
      <c r="C542" t="s">
        <v>19</v>
      </c>
      <c r="D542" t="s">
        <v>44</v>
      </c>
      <c r="E542" t="s">
        <v>50</v>
      </c>
      <c r="F542">
        <v>30</v>
      </c>
      <c r="G542">
        <v>423</v>
      </c>
      <c r="H542" t="s">
        <v>48</v>
      </c>
      <c r="I542" t="s">
        <v>23</v>
      </c>
      <c r="J542" s="1">
        <v>45166</v>
      </c>
      <c r="K542" t="s">
        <v>24</v>
      </c>
      <c r="L542" t="s">
        <v>853</v>
      </c>
      <c r="M542" t="s">
        <v>62</v>
      </c>
      <c r="N542">
        <v>8</v>
      </c>
      <c r="O542">
        <v>1</v>
      </c>
      <c r="P542">
        <v>50</v>
      </c>
      <c r="Q542" t="s">
        <v>27</v>
      </c>
      <c r="R542">
        <f>IF(tblSubscriptions[[#This Row],[churned]] = "Yes",1,0)</f>
        <v>1</v>
      </c>
      <c r="S542">
        <f t="shared" si="40"/>
        <v>0</v>
      </c>
      <c r="T542">
        <f t="shared" si="41"/>
        <v>1</v>
      </c>
      <c r="U542">
        <f t="shared" si="42"/>
        <v>0</v>
      </c>
      <c r="V542">
        <f t="shared" si="43"/>
        <v>1</v>
      </c>
      <c r="W542" t="str">
        <f t="shared" si="44"/>
        <v>Medium Risk</v>
      </c>
    </row>
    <row r="543" spans="1:23">
      <c r="A543" t="s">
        <v>854</v>
      </c>
      <c r="B543" t="s">
        <v>33</v>
      </c>
      <c r="C543" t="s">
        <v>19</v>
      </c>
      <c r="D543" t="s">
        <v>73</v>
      </c>
      <c r="E543" t="s">
        <v>41</v>
      </c>
      <c r="F543">
        <v>28</v>
      </c>
      <c r="G543">
        <v>146</v>
      </c>
      <c r="H543" t="s">
        <v>30</v>
      </c>
      <c r="I543" t="s">
        <v>23</v>
      </c>
      <c r="J543" s="1">
        <v>45954</v>
      </c>
      <c r="K543" t="s">
        <v>27</v>
      </c>
      <c r="L543" t="s">
        <v>31</v>
      </c>
      <c r="M543" t="s">
        <v>31</v>
      </c>
      <c r="N543">
        <v>7</v>
      </c>
      <c r="O543">
        <v>1</v>
      </c>
      <c r="P543">
        <v>91</v>
      </c>
      <c r="Q543" t="s">
        <v>27</v>
      </c>
      <c r="R543">
        <f>IF(tblSubscriptions[[#This Row],[churned]] = "Yes",1,0)</f>
        <v>0</v>
      </c>
      <c r="S543">
        <f t="shared" si="40"/>
        <v>0</v>
      </c>
      <c r="T543">
        <f t="shared" si="41"/>
        <v>1</v>
      </c>
      <c r="U543">
        <f t="shared" si="42"/>
        <v>0</v>
      </c>
      <c r="V543">
        <f t="shared" si="43"/>
        <v>1</v>
      </c>
      <c r="W543" t="str">
        <f t="shared" si="44"/>
        <v>Medium Risk</v>
      </c>
    </row>
    <row r="544" spans="1:23">
      <c r="A544" t="s">
        <v>855</v>
      </c>
      <c r="B544" t="s">
        <v>87</v>
      </c>
      <c r="C544" t="s">
        <v>29</v>
      </c>
      <c r="D544" t="s">
        <v>40</v>
      </c>
      <c r="E544" t="s">
        <v>47</v>
      </c>
      <c r="F544">
        <v>1</v>
      </c>
      <c r="G544">
        <v>424</v>
      </c>
      <c r="H544" t="s">
        <v>36</v>
      </c>
      <c r="I544" t="s">
        <v>23</v>
      </c>
      <c r="J544" s="1">
        <v>44870</v>
      </c>
      <c r="K544" t="s">
        <v>24</v>
      </c>
      <c r="L544" t="s">
        <v>826</v>
      </c>
      <c r="M544" t="s">
        <v>75</v>
      </c>
      <c r="N544">
        <v>9</v>
      </c>
      <c r="O544">
        <v>3</v>
      </c>
      <c r="P544">
        <v>24</v>
      </c>
      <c r="Q544" t="s">
        <v>27</v>
      </c>
      <c r="R544">
        <f>IF(tblSubscriptions[[#This Row],[churned]] = "Yes",1,0)</f>
        <v>1</v>
      </c>
      <c r="S544">
        <f t="shared" si="40"/>
        <v>1</v>
      </c>
      <c r="T544">
        <f t="shared" si="41"/>
        <v>1</v>
      </c>
      <c r="U544">
        <f t="shared" si="42"/>
        <v>0</v>
      </c>
      <c r="V544">
        <f t="shared" si="43"/>
        <v>2</v>
      </c>
      <c r="W544" t="str">
        <f t="shared" si="44"/>
        <v>High Risk</v>
      </c>
    </row>
    <row r="545" spans="1:23">
      <c r="A545" t="s">
        <v>856</v>
      </c>
      <c r="B545" t="s">
        <v>39</v>
      </c>
      <c r="C545" t="s">
        <v>29</v>
      </c>
      <c r="D545" t="s">
        <v>40</v>
      </c>
      <c r="E545" t="s">
        <v>41</v>
      </c>
      <c r="F545">
        <v>16</v>
      </c>
      <c r="G545">
        <v>550</v>
      </c>
      <c r="H545" t="s">
        <v>48</v>
      </c>
      <c r="I545" t="s">
        <v>42</v>
      </c>
      <c r="J545" s="1">
        <v>45290</v>
      </c>
      <c r="K545" t="s">
        <v>27</v>
      </c>
      <c r="L545" t="s">
        <v>31</v>
      </c>
      <c r="M545" t="s">
        <v>31</v>
      </c>
      <c r="N545">
        <v>4</v>
      </c>
      <c r="O545">
        <v>3</v>
      </c>
      <c r="P545">
        <v>25</v>
      </c>
      <c r="Q545" t="s">
        <v>27</v>
      </c>
      <c r="R545">
        <f>IF(tblSubscriptions[[#This Row],[churned]] = "Yes",1,0)</f>
        <v>0</v>
      </c>
      <c r="S545">
        <f t="shared" si="40"/>
        <v>1</v>
      </c>
      <c r="T545">
        <f t="shared" si="41"/>
        <v>1</v>
      </c>
      <c r="U545">
        <f t="shared" si="42"/>
        <v>0</v>
      </c>
      <c r="V545">
        <f t="shared" si="43"/>
        <v>2</v>
      </c>
      <c r="W545" t="str">
        <f t="shared" si="44"/>
        <v>High Risk</v>
      </c>
    </row>
    <row r="546" spans="1:23">
      <c r="A546" t="s">
        <v>857</v>
      </c>
      <c r="B546" t="s">
        <v>33</v>
      </c>
      <c r="C546" t="s">
        <v>19</v>
      </c>
      <c r="D546" t="s">
        <v>46</v>
      </c>
      <c r="E546" t="s">
        <v>47</v>
      </c>
      <c r="F546">
        <v>1</v>
      </c>
      <c r="G546">
        <v>29</v>
      </c>
      <c r="H546" t="s">
        <v>48</v>
      </c>
      <c r="I546" t="s">
        <v>42</v>
      </c>
      <c r="J546" s="1">
        <v>44685</v>
      </c>
      <c r="K546" t="s">
        <v>24</v>
      </c>
      <c r="L546" t="s">
        <v>858</v>
      </c>
      <c r="M546" t="s">
        <v>26</v>
      </c>
      <c r="N546">
        <v>14</v>
      </c>
      <c r="O546">
        <v>2</v>
      </c>
      <c r="P546">
        <v>10</v>
      </c>
      <c r="Q546" t="s">
        <v>27</v>
      </c>
      <c r="R546">
        <f>IF(tblSubscriptions[[#This Row],[churned]] = "Yes",1,0)</f>
        <v>1</v>
      </c>
      <c r="S546">
        <f t="shared" si="40"/>
        <v>1</v>
      </c>
      <c r="T546">
        <f t="shared" si="41"/>
        <v>1</v>
      </c>
      <c r="U546">
        <f t="shared" si="42"/>
        <v>1</v>
      </c>
      <c r="V546">
        <f t="shared" si="43"/>
        <v>3</v>
      </c>
      <c r="W546" t="str">
        <f t="shared" si="44"/>
        <v>High Risk</v>
      </c>
    </row>
    <row r="547" spans="1:23">
      <c r="A547" t="s">
        <v>859</v>
      </c>
      <c r="B547" t="s">
        <v>18</v>
      </c>
      <c r="C547" t="s">
        <v>19</v>
      </c>
      <c r="D547" t="s">
        <v>46</v>
      </c>
      <c r="E547" t="s">
        <v>41</v>
      </c>
      <c r="F547">
        <v>11</v>
      </c>
      <c r="G547">
        <v>198</v>
      </c>
      <c r="H547" t="s">
        <v>30</v>
      </c>
      <c r="I547" t="s">
        <v>64</v>
      </c>
      <c r="J547" s="1">
        <v>45181</v>
      </c>
      <c r="K547" t="s">
        <v>24</v>
      </c>
      <c r="L547" t="s">
        <v>860</v>
      </c>
      <c r="M547" t="s">
        <v>66</v>
      </c>
      <c r="N547">
        <v>12</v>
      </c>
      <c r="O547">
        <v>2</v>
      </c>
      <c r="P547">
        <v>10</v>
      </c>
      <c r="Q547" t="s">
        <v>27</v>
      </c>
      <c r="R547">
        <f>IF(tblSubscriptions[[#This Row],[churned]] = "Yes",1,0)</f>
        <v>1</v>
      </c>
      <c r="S547">
        <f t="shared" si="40"/>
        <v>1</v>
      </c>
      <c r="T547">
        <f t="shared" si="41"/>
        <v>1</v>
      </c>
      <c r="U547">
        <f t="shared" si="42"/>
        <v>1</v>
      </c>
      <c r="V547">
        <f t="shared" si="43"/>
        <v>3</v>
      </c>
      <c r="W547" t="str">
        <f t="shared" si="44"/>
        <v>High Risk</v>
      </c>
    </row>
    <row r="548" spans="1:23">
      <c r="A548" t="s">
        <v>861</v>
      </c>
      <c r="B548" t="s">
        <v>87</v>
      </c>
      <c r="C548" t="s">
        <v>19</v>
      </c>
      <c r="D548" t="s">
        <v>20</v>
      </c>
      <c r="E548" t="s">
        <v>47</v>
      </c>
      <c r="F548">
        <v>2</v>
      </c>
      <c r="G548">
        <v>574</v>
      </c>
      <c r="H548" t="s">
        <v>22</v>
      </c>
      <c r="I548" t="s">
        <v>23</v>
      </c>
      <c r="J548" s="1">
        <v>44936</v>
      </c>
      <c r="K548" t="s">
        <v>24</v>
      </c>
      <c r="L548" t="s">
        <v>862</v>
      </c>
      <c r="M548" t="s">
        <v>52</v>
      </c>
      <c r="N548">
        <v>10</v>
      </c>
      <c r="O548">
        <v>3</v>
      </c>
      <c r="P548">
        <v>22</v>
      </c>
      <c r="Q548" t="s">
        <v>27</v>
      </c>
      <c r="R548">
        <f>IF(tblSubscriptions[[#This Row],[churned]] = "Yes",1,0)</f>
        <v>1</v>
      </c>
      <c r="S548">
        <f t="shared" si="40"/>
        <v>1</v>
      </c>
      <c r="T548">
        <f t="shared" si="41"/>
        <v>1</v>
      </c>
      <c r="U548">
        <f t="shared" si="42"/>
        <v>0</v>
      </c>
      <c r="V548">
        <f t="shared" si="43"/>
        <v>2</v>
      </c>
      <c r="W548" t="str">
        <f t="shared" si="44"/>
        <v>High Risk</v>
      </c>
    </row>
    <row r="549" spans="1:23">
      <c r="A549" t="s">
        <v>863</v>
      </c>
      <c r="B549" t="s">
        <v>39</v>
      </c>
      <c r="C549" t="s">
        <v>19</v>
      </c>
      <c r="D549" t="s">
        <v>56</v>
      </c>
      <c r="E549" t="s">
        <v>41</v>
      </c>
      <c r="F549">
        <v>31</v>
      </c>
      <c r="G549">
        <v>1095</v>
      </c>
      <c r="H549" t="s">
        <v>70</v>
      </c>
      <c r="I549" t="s">
        <v>64</v>
      </c>
      <c r="J549" s="1">
        <v>44889</v>
      </c>
      <c r="K549" t="s">
        <v>27</v>
      </c>
      <c r="L549" t="s">
        <v>31</v>
      </c>
      <c r="M549" t="s">
        <v>31</v>
      </c>
      <c r="N549">
        <v>1</v>
      </c>
      <c r="O549">
        <v>6</v>
      </c>
      <c r="P549">
        <v>49</v>
      </c>
      <c r="Q549" t="s">
        <v>27</v>
      </c>
      <c r="R549">
        <f>IF(tblSubscriptions[[#This Row],[churned]] = "Yes",1,0)</f>
        <v>0</v>
      </c>
      <c r="S549">
        <f t="shared" si="40"/>
        <v>1</v>
      </c>
      <c r="T549">
        <f t="shared" si="41"/>
        <v>1</v>
      </c>
      <c r="U549">
        <f t="shared" si="42"/>
        <v>0</v>
      </c>
      <c r="V549">
        <f t="shared" si="43"/>
        <v>2</v>
      </c>
      <c r="W549" t="str">
        <f t="shared" si="44"/>
        <v>High Risk</v>
      </c>
    </row>
    <row r="550" spans="1:23">
      <c r="A550" t="s">
        <v>864</v>
      </c>
      <c r="B550" t="s">
        <v>33</v>
      </c>
      <c r="C550" t="s">
        <v>29</v>
      </c>
      <c r="D550" t="s">
        <v>83</v>
      </c>
      <c r="E550" t="s">
        <v>41</v>
      </c>
      <c r="F550">
        <v>30</v>
      </c>
      <c r="G550">
        <v>132</v>
      </c>
      <c r="H550" t="s">
        <v>36</v>
      </c>
      <c r="I550" t="s">
        <v>23</v>
      </c>
      <c r="J550" s="1">
        <v>44640</v>
      </c>
      <c r="K550" t="s">
        <v>24</v>
      </c>
      <c r="L550" t="s">
        <v>865</v>
      </c>
      <c r="M550" t="s">
        <v>66</v>
      </c>
      <c r="N550">
        <v>7</v>
      </c>
      <c r="O550">
        <v>1</v>
      </c>
      <c r="P550">
        <v>28</v>
      </c>
      <c r="Q550" t="s">
        <v>27</v>
      </c>
      <c r="R550">
        <f>IF(tblSubscriptions[[#This Row],[churned]] = "Yes",1,0)</f>
        <v>1</v>
      </c>
      <c r="S550">
        <f t="shared" si="40"/>
        <v>1</v>
      </c>
      <c r="T550">
        <f t="shared" si="41"/>
        <v>1</v>
      </c>
      <c r="U550">
        <f t="shared" si="42"/>
        <v>0</v>
      </c>
      <c r="V550">
        <f t="shared" si="43"/>
        <v>2</v>
      </c>
      <c r="W550" t="str">
        <f t="shared" si="44"/>
        <v>High Risk</v>
      </c>
    </row>
    <row r="551" spans="1:23">
      <c r="A551" t="s">
        <v>866</v>
      </c>
      <c r="B551" t="s">
        <v>33</v>
      </c>
      <c r="C551" t="s">
        <v>19</v>
      </c>
      <c r="D551" t="s">
        <v>46</v>
      </c>
      <c r="E551" t="s">
        <v>41</v>
      </c>
      <c r="F551">
        <v>31</v>
      </c>
      <c r="G551">
        <v>160</v>
      </c>
      <c r="H551" t="s">
        <v>22</v>
      </c>
      <c r="I551" t="s">
        <v>64</v>
      </c>
      <c r="J551" s="1">
        <v>45407</v>
      </c>
      <c r="K551" t="s">
        <v>24</v>
      </c>
      <c r="L551" t="s">
        <v>867</v>
      </c>
      <c r="M551" t="s">
        <v>75</v>
      </c>
      <c r="N551">
        <v>1</v>
      </c>
      <c r="O551">
        <v>6</v>
      </c>
      <c r="P551">
        <v>33</v>
      </c>
      <c r="Q551" t="s">
        <v>27</v>
      </c>
      <c r="R551">
        <f>IF(tblSubscriptions[[#This Row],[churned]] = "Yes",1,0)</f>
        <v>1</v>
      </c>
      <c r="S551">
        <f t="shared" si="40"/>
        <v>1</v>
      </c>
      <c r="T551">
        <f t="shared" si="41"/>
        <v>1</v>
      </c>
      <c r="U551">
        <f t="shared" si="42"/>
        <v>0</v>
      </c>
      <c r="V551">
        <f t="shared" si="43"/>
        <v>2</v>
      </c>
      <c r="W551" t="str">
        <f t="shared" si="44"/>
        <v>High Risk</v>
      </c>
    </row>
    <row r="552" spans="1:23">
      <c r="A552" t="s">
        <v>868</v>
      </c>
      <c r="B552" t="s">
        <v>18</v>
      </c>
      <c r="C552" t="s">
        <v>29</v>
      </c>
      <c r="D552" t="s">
        <v>97</v>
      </c>
      <c r="E552" t="s">
        <v>35</v>
      </c>
      <c r="F552">
        <v>187</v>
      </c>
      <c r="G552">
        <v>1941</v>
      </c>
      <c r="H552" t="s">
        <v>70</v>
      </c>
      <c r="I552" t="s">
        <v>23</v>
      </c>
      <c r="J552" s="1">
        <v>45938</v>
      </c>
      <c r="K552" t="s">
        <v>27</v>
      </c>
      <c r="L552" t="s">
        <v>31</v>
      </c>
      <c r="M552" t="s">
        <v>31</v>
      </c>
      <c r="N552">
        <v>1</v>
      </c>
      <c r="O552">
        <v>3</v>
      </c>
      <c r="P552">
        <v>53</v>
      </c>
      <c r="Q552" t="s">
        <v>27</v>
      </c>
      <c r="R552">
        <f>IF(tblSubscriptions[[#This Row],[churned]] = "Yes",1,0)</f>
        <v>0</v>
      </c>
      <c r="S552">
        <f t="shared" si="40"/>
        <v>0</v>
      </c>
      <c r="T552">
        <f t="shared" si="41"/>
        <v>1</v>
      </c>
      <c r="U552">
        <f t="shared" si="42"/>
        <v>0</v>
      </c>
      <c r="V552">
        <f t="shared" si="43"/>
        <v>1</v>
      </c>
      <c r="W552" t="str">
        <f t="shared" si="44"/>
        <v>Medium Risk</v>
      </c>
    </row>
    <row r="553" spans="1:23">
      <c r="A553" t="s">
        <v>869</v>
      </c>
      <c r="B553" t="s">
        <v>33</v>
      </c>
      <c r="C553" t="s">
        <v>19</v>
      </c>
      <c r="D553" t="s">
        <v>73</v>
      </c>
      <c r="E553" t="s">
        <v>41</v>
      </c>
      <c r="F553">
        <v>9</v>
      </c>
      <c r="G553">
        <v>64</v>
      </c>
      <c r="H553" t="s">
        <v>30</v>
      </c>
      <c r="I553" t="s">
        <v>23</v>
      </c>
      <c r="J553" s="1">
        <v>45726</v>
      </c>
      <c r="K553" t="s">
        <v>27</v>
      </c>
      <c r="L553" t="s">
        <v>31</v>
      </c>
      <c r="M553" t="s">
        <v>31</v>
      </c>
      <c r="N553">
        <v>9</v>
      </c>
      <c r="O553">
        <v>3</v>
      </c>
      <c r="P553">
        <v>22</v>
      </c>
      <c r="Q553" t="s">
        <v>27</v>
      </c>
      <c r="R553">
        <f>IF(tblSubscriptions[[#This Row],[churned]] = "Yes",1,0)</f>
        <v>0</v>
      </c>
      <c r="S553">
        <f t="shared" si="40"/>
        <v>1</v>
      </c>
      <c r="T553">
        <f t="shared" si="41"/>
        <v>1</v>
      </c>
      <c r="U553">
        <f t="shared" si="42"/>
        <v>0</v>
      </c>
      <c r="V553">
        <f t="shared" si="43"/>
        <v>2</v>
      </c>
      <c r="W553" t="str">
        <f t="shared" si="44"/>
        <v>High Risk</v>
      </c>
    </row>
    <row r="554" spans="1:23">
      <c r="A554" t="s">
        <v>870</v>
      </c>
      <c r="B554" t="s">
        <v>33</v>
      </c>
      <c r="C554" t="s">
        <v>29</v>
      </c>
      <c r="D554" t="s">
        <v>46</v>
      </c>
      <c r="E554" t="s">
        <v>50</v>
      </c>
      <c r="F554">
        <v>135</v>
      </c>
      <c r="G554">
        <v>520</v>
      </c>
      <c r="H554" t="s">
        <v>124</v>
      </c>
      <c r="I554" t="s">
        <v>64</v>
      </c>
      <c r="J554" s="1">
        <v>45566</v>
      </c>
      <c r="K554" t="s">
        <v>27</v>
      </c>
      <c r="L554" t="s">
        <v>31</v>
      </c>
      <c r="M554" t="s">
        <v>31</v>
      </c>
      <c r="N554">
        <v>10</v>
      </c>
      <c r="O554">
        <v>4</v>
      </c>
      <c r="P554">
        <v>86</v>
      </c>
      <c r="Q554" t="s">
        <v>27</v>
      </c>
      <c r="R554">
        <f>IF(tblSubscriptions[[#This Row],[churned]] = "Yes",1,0)</f>
        <v>0</v>
      </c>
      <c r="S554">
        <f t="shared" si="40"/>
        <v>0</v>
      </c>
      <c r="T554">
        <f t="shared" si="41"/>
        <v>1</v>
      </c>
      <c r="U554">
        <f t="shared" si="42"/>
        <v>0</v>
      </c>
      <c r="V554">
        <f t="shared" si="43"/>
        <v>1</v>
      </c>
      <c r="W554" t="str">
        <f t="shared" si="44"/>
        <v>Medium Risk</v>
      </c>
    </row>
    <row r="555" spans="1:23">
      <c r="A555" t="s">
        <v>871</v>
      </c>
      <c r="B555" t="s">
        <v>33</v>
      </c>
      <c r="C555" t="s">
        <v>29</v>
      </c>
      <c r="D555" t="s">
        <v>44</v>
      </c>
      <c r="E555" t="s">
        <v>21</v>
      </c>
      <c r="F555">
        <v>39</v>
      </c>
      <c r="G555">
        <v>165</v>
      </c>
      <c r="H555" t="s">
        <v>70</v>
      </c>
      <c r="I555" t="s">
        <v>23</v>
      </c>
      <c r="J555" s="1">
        <v>44609</v>
      </c>
      <c r="K555" t="s">
        <v>24</v>
      </c>
      <c r="L555" t="s">
        <v>872</v>
      </c>
      <c r="M555" t="s">
        <v>66</v>
      </c>
      <c r="N555">
        <v>8</v>
      </c>
      <c r="O555">
        <v>6</v>
      </c>
      <c r="P555">
        <v>18</v>
      </c>
      <c r="Q555" t="s">
        <v>27</v>
      </c>
      <c r="R555">
        <f>IF(tblSubscriptions[[#This Row],[churned]] = "Yes",1,0)</f>
        <v>1</v>
      </c>
      <c r="S555">
        <f t="shared" si="40"/>
        <v>1</v>
      </c>
      <c r="T555">
        <f t="shared" si="41"/>
        <v>1</v>
      </c>
      <c r="U555">
        <f t="shared" si="42"/>
        <v>0</v>
      </c>
      <c r="V555">
        <f t="shared" si="43"/>
        <v>2</v>
      </c>
      <c r="W555" t="str">
        <f t="shared" si="44"/>
        <v>High Risk</v>
      </c>
    </row>
    <row r="556" spans="1:23">
      <c r="A556" t="s">
        <v>873</v>
      </c>
      <c r="B556" t="s">
        <v>39</v>
      </c>
      <c r="C556" t="s">
        <v>29</v>
      </c>
      <c r="D556" t="s">
        <v>20</v>
      </c>
      <c r="E556" t="s">
        <v>41</v>
      </c>
      <c r="F556">
        <v>29</v>
      </c>
      <c r="G556">
        <v>880</v>
      </c>
      <c r="H556" t="s">
        <v>48</v>
      </c>
      <c r="I556" t="s">
        <v>23</v>
      </c>
      <c r="J556" s="1">
        <v>44770</v>
      </c>
      <c r="K556" t="s">
        <v>27</v>
      </c>
      <c r="L556" t="s">
        <v>31</v>
      </c>
      <c r="M556" t="s">
        <v>31</v>
      </c>
      <c r="N556">
        <v>2</v>
      </c>
      <c r="O556">
        <v>5</v>
      </c>
      <c r="P556">
        <v>71</v>
      </c>
      <c r="Q556" t="s">
        <v>27</v>
      </c>
      <c r="R556">
        <f>IF(tblSubscriptions[[#This Row],[churned]] = "Yes",1,0)</f>
        <v>0</v>
      </c>
      <c r="S556">
        <f t="shared" si="40"/>
        <v>0</v>
      </c>
      <c r="T556">
        <f t="shared" si="41"/>
        <v>1</v>
      </c>
      <c r="U556">
        <f t="shared" si="42"/>
        <v>0</v>
      </c>
      <c r="V556">
        <f t="shared" si="43"/>
        <v>1</v>
      </c>
      <c r="W556" t="str">
        <f t="shared" si="44"/>
        <v>Medium Risk</v>
      </c>
    </row>
    <row r="557" spans="1:23">
      <c r="A557" t="s">
        <v>874</v>
      </c>
      <c r="B557" t="s">
        <v>39</v>
      </c>
      <c r="C557" t="s">
        <v>19</v>
      </c>
      <c r="D557" t="s">
        <v>97</v>
      </c>
      <c r="E557" t="s">
        <v>35</v>
      </c>
      <c r="F557">
        <v>182</v>
      </c>
      <c r="G557">
        <v>5602</v>
      </c>
      <c r="H557" t="s">
        <v>70</v>
      </c>
      <c r="I557" t="s">
        <v>84</v>
      </c>
      <c r="J557" s="1">
        <v>45863</v>
      </c>
      <c r="K557" t="s">
        <v>24</v>
      </c>
      <c r="L557" t="s">
        <v>875</v>
      </c>
      <c r="M557" t="s">
        <v>66</v>
      </c>
      <c r="N557">
        <v>4</v>
      </c>
      <c r="O557">
        <v>1</v>
      </c>
      <c r="P557">
        <v>21</v>
      </c>
      <c r="Q557" t="s">
        <v>27</v>
      </c>
      <c r="R557">
        <f>IF(tblSubscriptions[[#This Row],[churned]] = "Yes",1,0)</f>
        <v>1</v>
      </c>
      <c r="S557">
        <f t="shared" si="40"/>
        <v>1</v>
      </c>
      <c r="T557">
        <f t="shared" si="41"/>
        <v>1</v>
      </c>
      <c r="U557">
        <f t="shared" si="42"/>
        <v>0</v>
      </c>
      <c r="V557">
        <f t="shared" si="43"/>
        <v>2</v>
      </c>
      <c r="W557" t="str">
        <f t="shared" si="44"/>
        <v>High Risk</v>
      </c>
    </row>
    <row r="558" spans="1:23">
      <c r="A558" t="s">
        <v>876</v>
      </c>
      <c r="B558" t="s">
        <v>33</v>
      </c>
      <c r="C558" t="s">
        <v>19</v>
      </c>
      <c r="D558" t="s">
        <v>34</v>
      </c>
      <c r="E558" t="s">
        <v>50</v>
      </c>
      <c r="F558">
        <v>82</v>
      </c>
      <c r="G558">
        <v>381</v>
      </c>
      <c r="H558" t="s">
        <v>48</v>
      </c>
      <c r="I558" t="s">
        <v>23</v>
      </c>
      <c r="J558" s="1">
        <v>45941</v>
      </c>
      <c r="K558" t="s">
        <v>27</v>
      </c>
      <c r="L558" t="s">
        <v>31</v>
      </c>
      <c r="M558" t="s">
        <v>31</v>
      </c>
      <c r="N558">
        <v>1</v>
      </c>
      <c r="O558">
        <v>6</v>
      </c>
      <c r="P558">
        <v>33</v>
      </c>
      <c r="Q558" t="s">
        <v>27</v>
      </c>
      <c r="R558">
        <f>IF(tblSubscriptions[[#This Row],[churned]] = "Yes",1,0)</f>
        <v>0</v>
      </c>
      <c r="S558">
        <f t="shared" si="40"/>
        <v>1</v>
      </c>
      <c r="T558">
        <f t="shared" si="41"/>
        <v>1</v>
      </c>
      <c r="U558">
        <f t="shared" si="42"/>
        <v>0</v>
      </c>
      <c r="V558">
        <f t="shared" si="43"/>
        <v>2</v>
      </c>
      <c r="W558" t="str">
        <f t="shared" si="44"/>
        <v>High Risk</v>
      </c>
    </row>
    <row r="559" spans="1:23">
      <c r="A559" t="s">
        <v>877</v>
      </c>
      <c r="B559" t="s">
        <v>39</v>
      </c>
      <c r="C559" t="s">
        <v>19</v>
      </c>
      <c r="D559" t="s">
        <v>73</v>
      </c>
      <c r="E559" t="s">
        <v>50</v>
      </c>
      <c r="F559">
        <v>74</v>
      </c>
      <c r="G559">
        <v>2378</v>
      </c>
      <c r="H559" t="s">
        <v>22</v>
      </c>
      <c r="I559" t="s">
        <v>42</v>
      </c>
      <c r="J559" s="1">
        <v>45772</v>
      </c>
      <c r="K559" t="s">
        <v>27</v>
      </c>
      <c r="L559" t="s">
        <v>31</v>
      </c>
      <c r="M559" t="s">
        <v>31</v>
      </c>
      <c r="N559">
        <v>0</v>
      </c>
      <c r="O559">
        <v>9</v>
      </c>
      <c r="P559">
        <v>71</v>
      </c>
      <c r="Q559" t="s">
        <v>24</v>
      </c>
      <c r="R559">
        <f>IF(tblSubscriptions[[#This Row],[churned]] = "Yes",1,0)</f>
        <v>0</v>
      </c>
      <c r="S559">
        <f t="shared" si="40"/>
        <v>0</v>
      </c>
      <c r="T559">
        <f t="shared" si="41"/>
        <v>0</v>
      </c>
      <c r="U559">
        <f t="shared" si="42"/>
        <v>0</v>
      </c>
      <c r="V559">
        <f t="shared" si="43"/>
        <v>0</v>
      </c>
      <c r="W559" t="str">
        <f t="shared" si="44"/>
        <v>Low Risk</v>
      </c>
    </row>
    <row r="560" spans="1:23">
      <c r="A560" t="s">
        <v>878</v>
      </c>
      <c r="B560" t="s">
        <v>18</v>
      </c>
      <c r="C560" t="s">
        <v>29</v>
      </c>
      <c r="D560" t="s">
        <v>60</v>
      </c>
      <c r="E560" t="s">
        <v>41</v>
      </c>
      <c r="F560">
        <v>30</v>
      </c>
      <c r="G560">
        <v>359</v>
      </c>
      <c r="H560" t="s">
        <v>36</v>
      </c>
      <c r="I560" t="s">
        <v>23</v>
      </c>
      <c r="J560" s="1">
        <v>44892</v>
      </c>
      <c r="K560" t="s">
        <v>24</v>
      </c>
      <c r="L560" t="s">
        <v>323</v>
      </c>
      <c r="M560" t="s">
        <v>62</v>
      </c>
      <c r="N560">
        <v>11</v>
      </c>
      <c r="O560">
        <v>1</v>
      </c>
      <c r="P560">
        <v>26</v>
      </c>
      <c r="Q560" t="s">
        <v>27</v>
      </c>
      <c r="R560">
        <f>IF(tblSubscriptions[[#This Row],[churned]] = "Yes",1,0)</f>
        <v>1</v>
      </c>
      <c r="S560">
        <f t="shared" si="40"/>
        <v>1</v>
      </c>
      <c r="T560">
        <f t="shared" si="41"/>
        <v>1</v>
      </c>
      <c r="U560">
        <f t="shared" si="42"/>
        <v>1</v>
      </c>
      <c r="V560">
        <f t="shared" si="43"/>
        <v>3</v>
      </c>
      <c r="W560" t="str">
        <f t="shared" si="44"/>
        <v>High Risk</v>
      </c>
    </row>
    <row r="561" spans="1:23">
      <c r="A561" t="s">
        <v>879</v>
      </c>
      <c r="B561" t="s">
        <v>33</v>
      </c>
      <c r="C561" t="s">
        <v>19</v>
      </c>
      <c r="D561" t="s">
        <v>83</v>
      </c>
      <c r="E561" t="s">
        <v>41</v>
      </c>
      <c r="F561">
        <v>6</v>
      </c>
      <c r="G561">
        <v>51</v>
      </c>
      <c r="H561" t="s">
        <v>22</v>
      </c>
      <c r="I561" t="s">
        <v>64</v>
      </c>
      <c r="J561" s="1">
        <v>45516</v>
      </c>
      <c r="K561" t="s">
        <v>24</v>
      </c>
      <c r="L561" t="s">
        <v>564</v>
      </c>
      <c r="M561" t="s">
        <v>26</v>
      </c>
      <c r="N561">
        <v>9</v>
      </c>
      <c r="O561">
        <v>1</v>
      </c>
      <c r="P561">
        <v>45</v>
      </c>
      <c r="Q561" t="s">
        <v>27</v>
      </c>
      <c r="R561">
        <f>IF(tblSubscriptions[[#This Row],[churned]] = "Yes",1,0)</f>
        <v>1</v>
      </c>
      <c r="S561">
        <f t="shared" si="40"/>
        <v>1</v>
      </c>
      <c r="T561">
        <f t="shared" si="41"/>
        <v>1</v>
      </c>
      <c r="U561">
        <f t="shared" si="42"/>
        <v>0</v>
      </c>
      <c r="V561">
        <f t="shared" si="43"/>
        <v>2</v>
      </c>
      <c r="W561" t="str">
        <f t="shared" si="44"/>
        <v>High Risk</v>
      </c>
    </row>
    <row r="562" spans="1:23">
      <c r="A562" t="s">
        <v>880</v>
      </c>
      <c r="B562" t="s">
        <v>87</v>
      </c>
      <c r="C562" t="s">
        <v>19</v>
      </c>
      <c r="D562" t="s">
        <v>83</v>
      </c>
      <c r="E562" t="s">
        <v>41</v>
      </c>
      <c r="F562">
        <v>17</v>
      </c>
      <c r="G562">
        <v>1697</v>
      </c>
      <c r="H562" t="s">
        <v>22</v>
      </c>
      <c r="I562" t="s">
        <v>64</v>
      </c>
      <c r="J562" s="1">
        <v>45128</v>
      </c>
      <c r="K562" t="s">
        <v>27</v>
      </c>
      <c r="L562" t="s">
        <v>31</v>
      </c>
      <c r="M562" t="s">
        <v>31</v>
      </c>
      <c r="N562">
        <v>9</v>
      </c>
      <c r="O562">
        <v>3</v>
      </c>
      <c r="P562">
        <v>41</v>
      </c>
      <c r="Q562" t="s">
        <v>27</v>
      </c>
      <c r="R562">
        <f>IF(tblSubscriptions[[#This Row],[churned]] = "Yes",1,0)</f>
        <v>0</v>
      </c>
      <c r="S562">
        <f t="shared" si="40"/>
        <v>1</v>
      </c>
      <c r="T562">
        <f t="shared" si="41"/>
        <v>1</v>
      </c>
      <c r="U562">
        <f t="shared" si="42"/>
        <v>0</v>
      </c>
      <c r="V562">
        <f t="shared" si="43"/>
        <v>2</v>
      </c>
      <c r="W562" t="str">
        <f t="shared" si="44"/>
        <v>High Risk</v>
      </c>
    </row>
    <row r="563" spans="1:23">
      <c r="A563" t="s">
        <v>881</v>
      </c>
      <c r="B563" t="s">
        <v>39</v>
      </c>
      <c r="C563" t="s">
        <v>19</v>
      </c>
      <c r="D563" t="s">
        <v>60</v>
      </c>
      <c r="E563" t="s">
        <v>21</v>
      </c>
      <c r="F563">
        <v>30</v>
      </c>
      <c r="G563">
        <v>1065</v>
      </c>
      <c r="H563" t="s">
        <v>48</v>
      </c>
      <c r="I563" t="s">
        <v>23</v>
      </c>
      <c r="J563" s="1">
        <v>45942</v>
      </c>
      <c r="K563" t="s">
        <v>27</v>
      </c>
      <c r="L563" t="s">
        <v>31</v>
      </c>
      <c r="M563" t="s">
        <v>31</v>
      </c>
      <c r="N563">
        <v>6</v>
      </c>
      <c r="O563">
        <v>10</v>
      </c>
      <c r="P563">
        <v>17</v>
      </c>
      <c r="Q563" t="s">
        <v>27</v>
      </c>
      <c r="R563">
        <f>IF(tblSubscriptions[[#This Row],[churned]] = "Yes",1,0)</f>
        <v>0</v>
      </c>
      <c r="S563">
        <f t="shared" si="40"/>
        <v>1</v>
      </c>
      <c r="T563">
        <f t="shared" si="41"/>
        <v>0</v>
      </c>
      <c r="U563">
        <f t="shared" si="42"/>
        <v>0</v>
      </c>
      <c r="V563">
        <f t="shared" si="43"/>
        <v>1</v>
      </c>
      <c r="W563" t="str">
        <f t="shared" si="44"/>
        <v>Medium Risk</v>
      </c>
    </row>
    <row r="564" spans="1:23">
      <c r="A564" t="s">
        <v>882</v>
      </c>
      <c r="B564" t="s">
        <v>33</v>
      </c>
      <c r="C564" t="s">
        <v>19</v>
      </c>
      <c r="D564" t="s">
        <v>46</v>
      </c>
      <c r="E564" t="s">
        <v>47</v>
      </c>
      <c r="F564">
        <v>8</v>
      </c>
      <c r="G564">
        <v>59</v>
      </c>
      <c r="H564" t="s">
        <v>22</v>
      </c>
      <c r="I564" t="s">
        <v>64</v>
      </c>
      <c r="J564" s="1">
        <v>45605</v>
      </c>
      <c r="K564" t="s">
        <v>24</v>
      </c>
      <c r="L564" t="s">
        <v>448</v>
      </c>
      <c r="M564" t="s">
        <v>58</v>
      </c>
      <c r="N564">
        <v>3</v>
      </c>
      <c r="O564">
        <v>5</v>
      </c>
      <c r="P564">
        <v>27</v>
      </c>
      <c r="Q564" t="s">
        <v>27</v>
      </c>
      <c r="R564">
        <f>IF(tblSubscriptions[[#This Row],[churned]] = "Yes",1,0)</f>
        <v>1</v>
      </c>
      <c r="S564">
        <f t="shared" si="40"/>
        <v>1</v>
      </c>
      <c r="T564">
        <f t="shared" si="41"/>
        <v>1</v>
      </c>
      <c r="U564">
        <f t="shared" si="42"/>
        <v>0</v>
      </c>
      <c r="V564">
        <f t="shared" si="43"/>
        <v>2</v>
      </c>
      <c r="W564" t="str">
        <f t="shared" si="44"/>
        <v>High Risk</v>
      </c>
    </row>
    <row r="565" spans="1:23">
      <c r="A565" t="s">
        <v>883</v>
      </c>
      <c r="B565" t="s">
        <v>18</v>
      </c>
      <c r="C565" t="s">
        <v>19</v>
      </c>
      <c r="D565" t="s">
        <v>46</v>
      </c>
      <c r="E565" t="s">
        <v>47</v>
      </c>
      <c r="F565">
        <v>8</v>
      </c>
      <c r="G565">
        <v>162</v>
      </c>
      <c r="H565" t="s">
        <v>70</v>
      </c>
      <c r="I565" t="s">
        <v>42</v>
      </c>
      <c r="J565" s="1">
        <v>45733</v>
      </c>
      <c r="K565" t="s">
        <v>27</v>
      </c>
      <c r="L565" t="s">
        <v>31</v>
      </c>
      <c r="M565" t="s">
        <v>31</v>
      </c>
      <c r="N565">
        <v>10</v>
      </c>
      <c r="O565">
        <v>10</v>
      </c>
      <c r="P565">
        <v>78</v>
      </c>
      <c r="Q565" t="s">
        <v>27</v>
      </c>
      <c r="R565">
        <f>IF(tblSubscriptions[[#This Row],[churned]] = "Yes",1,0)</f>
        <v>0</v>
      </c>
      <c r="S565">
        <f t="shared" si="40"/>
        <v>0</v>
      </c>
      <c r="T565">
        <f t="shared" si="41"/>
        <v>0</v>
      </c>
      <c r="U565">
        <f t="shared" si="42"/>
        <v>0</v>
      </c>
      <c r="V565">
        <f t="shared" si="43"/>
        <v>0</v>
      </c>
      <c r="W565" t="str">
        <f t="shared" si="44"/>
        <v>Low Risk</v>
      </c>
    </row>
    <row r="566" spans="1:23">
      <c r="A566" t="s">
        <v>884</v>
      </c>
      <c r="B566" t="s">
        <v>39</v>
      </c>
      <c r="C566" t="s">
        <v>19</v>
      </c>
      <c r="D566" t="s">
        <v>44</v>
      </c>
      <c r="E566" t="s">
        <v>47</v>
      </c>
      <c r="F566">
        <v>6</v>
      </c>
      <c r="G566">
        <v>348</v>
      </c>
      <c r="H566" t="s">
        <v>48</v>
      </c>
      <c r="I566" t="s">
        <v>64</v>
      </c>
      <c r="J566" s="1">
        <v>45226</v>
      </c>
      <c r="K566" t="s">
        <v>24</v>
      </c>
      <c r="L566" t="s">
        <v>885</v>
      </c>
      <c r="M566" t="s">
        <v>26</v>
      </c>
      <c r="N566">
        <v>10</v>
      </c>
      <c r="O566">
        <v>1</v>
      </c>
      <c r="P566">
        <v>19</v>
      </c>
      <c r="Q566" t="s">
        <v>27</v>
      </c>
      <c r="R566">
        <f>IF(tblSubscriptions[[#This Row],[churned]] = "Yes",1,0)</f>
        <v>1</v>
      </c>
      <c r="S566">
        <f t="shared" si="40"/>
        <v>1</v>
      </c>
      <c r="T566">
        <f t="shared" si="41"/>
        <v>1</v>
      </c>
      <c r="U566">
        <f t="shared" si="42"/>
        <v>0</v>
      </c>
      <c r="V566">
        <f t="shared" si="43"/>
        <v>2</v>
      </c>
      <c r="W566" t="str">
        <f t="shared" si="44"/>
        <v>High Risk</v>
      </c>
    </row>
    <row r="567" spans="1:23">
      <c r="A567" t="s">
        <v>886</v>
      </c>
      <c r="B567" t="s">
        <v>18</v>
      </c>
      <c r="C567" t="s">
        <v>19</v>
      </c>
      <c r="D567" t="s">
        <v>40</v>
      </c>
      <c r="E567" t="s">
        <v>47</v>
      </c>
      <c r="F567">
        <v>8</v>
      </c>
      <c r="G567">
        <v>162</v>
      </c>
      <c r="H567" t="s">
        <v>22</v>
      </c>
      <c r="I567" t="s">
        <v>42</v>
      </c>
      <c r="J567" s="1">
        <v>44797</v>
      </c>
      <c r="K567" t="s">
        <v>24</v>
      </c>
      <c r="L567" t="s">
        <v>887</v>
      </c>
      <c r="M567" t="s">
        <v>62</v>
      </c>
      <c r="N567">
        <v>1</v>
      </c>
      <c r="O567">
        <v>3</v>
      </c>
      <c r="P567">
        <v>15</v>
      </c>
      <c r="Q567" t="s">
        <v>27</v>
      </c>
      <c r="R567">
        <f>IF(tblSubscriptions[[#This Row],[churned]] = "Yes",1,0)</f>
        <v>1</v>
      </c>
      <c r="S567">
        <f t="shared" si="40"/>
        <v>1</v>
      </c>
      <c r="T567">
        <f t="shared" si="41"/>
        <v>1</v>
      </c>
      <c r="U567">
        <f t="shared" si="42"/>
        <v>0</v>
      </c>
      <c r="V567">
        <f t="shared" si="43"/>
        <v>2</v>
      </c>
      <c r="W567" t="str">
        <f t="shared" si="44"/>
        <v>High Risk</v>
      </c>
    </row>
    <row r="568" spans="1:23">
      <c r="A568" t="s">
        <v>888</v>
      </c>
      <c r="B568" t="s">
        <v>33</v>
      </c>
      <c r="C568" t="s">
        <v>29</v>
      </c>
      <c r="D568" t="s">
        <v>44</v>
      </c>
      <c r="E568" t="s">
        <v>41</v>
      </c>
      <c r="F568">
        <v>27</v>
      </c>
      <c r="G568">
        <v>121</v>
      </c>
      <c r="H568" t="s">
        <v>30</v>
      </c>
      <c r="I568" t="s">
        <v>42</v>
      </c>
      <c r="J568" s="1">
        <v>45465</v>
      </c>
      <c r="K568" t="s">
        <v>24</v>
      </c>
      <c r="L568" t="s">
        <v>889</v>
      </c>
      <c r="M568" t="s">
        <v>62</v>
      </c>
      <c r="N568">
        <v>10</v>
      </c>
      <c r="O568">
        <v>4</v>
      </c>
      <c r="P568">
        <v>11</v>
      </c>
      <c r="Q568" t="s">
        <v>27</v>
      </c>
      <c r="R568">
        <f>IF(tblSubscriptions[[#This Row],[churned]] = "Yes",1,0)</f>
        <v>1</v>
      </c>
      <c r="S568">
        <f t="shared" si="40"/>
        <v>1</v>
      </c>
      <c r="T568">
        <f t="shared" si="41"/>
        <v>1</v>
      </c>
      <c r="U568">
        <f t="shared" si="42"/>
        <v>0</v>
      </c>
      <c r="V568">
        <f t="shared" si="43"/>
        <v>2</v>
      </c>
      <c r="W568" t="str">
        <f t="shared" si="44"/>
        <v>High Risk</v>
      </c>
    </row>
    <row r="569" spans="1:23">
      <c r="A569" t="s">
        <v>890</v>
      </c>
      <c r="B569" t="s">
        <v>33</v>
      </c>
      <c r="C569" t="s">
        <v>29</v>
      </c>
      <c r="D569" t="s">
        <v>73</v>
      </c>
      <c r="E569" t="s">
        <v>21</v>
      </c>
      <c r="F569">
        <v>50</v>
      </c>
      <c r="G569">
        <v>206</v>
      </c>
      <c r="H569" t="s">
        <v>48</v>
      </c>
      <c r="I569" t="s">
        <v>23</v>
      </c>
      <c r="J569" s="1">
        <v>45802</v>
      </c>
      <c r="K569" t="s">
        <v>27</v>
      </c>
      <c r="L569" t="s">
        <v>31</v>
      </c>
      <c r="M569" t="s">
        <v>31</v>
      </c>
      <c r="N569">
        <v>5</v>
      </c>
      <c r="O569">
        <v>8</v>
      </c>
      <c r="P569">
        <v>66</v>
      </c>
      <c r="Q569" t="s">
        <v>27</v>
      </c>
      <c r="R569">
        <f>IF(tblSubscriptions[[#This Row],[churned]] = "Yes",1,0)</f>
        <v>0</v>
      </c>
      <c r="S569">
        <f t="shared" si="40"/>
        <v>0</v>
      </c>
      <c r="T569">
        <f t="shared" si="41"/>
        <v>0</v>
      </c>
      <c r="U569">
        <f t="shared" si="42"/>
        <v>0</v>
      </c>
      <c r="V569">
        <f t="shared" si="43"/>
        <v>0</v>
      </c>
      <c r="W569" t="str">
        <f t="shared" si="44"/>
        <v>Low Risk</v>
      </c>
    </row>
    <row r="570" spans="1:23">
      <c r="A570" t="s">
        <v>891</v>
      </c>
      <c r="B570" t="s">
        <v>18</v>
      </c>
      <c r="C570" t="s">
        <v>19</v>
      </c>
      <c r="D570" t="s">
        <v>60</v>
      </c>
      <c r="E570" t="s">
        <v>41</v>
      </c>
      <c r="F570">
        <v>13</v>
      </c>
      <c r="G570">
        <v>221</v>
      </c>
      <c r="H570" t="s">
        <v>22</v>
      </c>
      <c r="I570" t="s">
        <v>42</v>
      </c>
      <c r="J570" s="1">
        <v>45808</v>
      </c>
      <c r="K570" t="s">
        <v>27</v>
      </c>
      <c r="L570" t="s">
        <v>31</v>
      </c>
      <c r="M570" t="s">
        <v>31</v>
      </c>
      <c r="N570">
        <v>5</v>
      </c>
      <c r="O570">
        <v>5</v>
      </c>
      <c r="P570">
        <v>53</v>
      </c>
      <c r="Q570" t="s">
        <v>27</v>
      </c>
      <c r="R570">
        <f>IF(tblSubscriptions[[#This Row],[churned]] = "Yes",1,0)</f>
        <v>0</v>
      </c>
      <c r="S570">
        <f t="shared" si="40"/>
        <v>0</v>
      </c>
      <c r="T570">
        <f t="shared" si="41"/>
        <v>1</v>
      </c>
      <c r="U570">
        <f t="shared" si="42"/>
        <v>0</v>
      </c>
      <c r="V570">
        <f t="shared" si="43"/>
        <v>1</v>
      </c>
      <c r="W570" t="str">
        <f t="shared" si="44"/>
        <v>Medium Risk</v>
      </c>
    </row>
    <row r="571" spans="1:23">
      <c r="A571" t="s">
        <v>892</v>
      </c>
      <c r="B571" t="s">
        <v>39</v>
      </c>
      <c r="C571" t="s">
        <v>29</v>
      </c>
      <c r="D571" t="s">
        <v>46</v>
      </c>
      <c r="E571" t="s">
        <v>41</v>
      </c>
      <c r="F571">
        <v>23</v>
      </c>
      <c r="G571">
        <v>727</v>
      </c>
      <c r="H571" t="s">
        <v>22</v>
      </c>
      <c r="I571" t="s">
        <v>23</v>
      </c>
      <c r="J571" s="1">
        <v>45419</v>
      </c>
      <c r="K571" t="s">
        <v>27</v>
      </c>
      <c r="L571" t="s">
        <v>31</v>
      </c>
      <c r="M571" t="s">
        <v>31</v>
      </c>
      <c r="N571">
        <v>2</v>
      </c>
      <c r="O571">
        <v>5</v>
      </c>
      <c r="P571">
        <v>19</v>
      </c>
      <c r="Q571" t="s">
        <v>27</v>
      </c>
      <c r="R571">
        <f>IF(tblSubscriptions[[#This Row],[churned]] = "Yes",1,0)</f>
        <v>0</v>
      </c>
      <c r="S571">
        <f t="shared" si="40"/>
        <v>1</v>
      </c>
      <c r="T571">
        <f t="shared" si="41"/>
        <v>1</v>
      </c>
      <c r="U571">
        <f t="shared" si="42"/>
        <v>0</v>
      </c>
      <c r="V571">
        <f t="shared" si="43"/>
        <v>2</v>
      </c>
      <c r="W571" t="str">
        <f t="shared" si="44"/>
        <v>High Risk</v>
      </c>
    </row>
    <row r="572" spans="1:23">
      <c r="A572" t="s">
        <v>893</v>
      </c>
      <c r="B572" t="s">
        <v>33</v>
      </c>
      <c r="C572" t="s">
        <v>19</v>
      </c>
      <c r="D572" t="s">
        <v>83</v>
      </c>
      <c r="E572" t="s">
        <v>47</v>
      </c>
      <c r="F572">
        <v>2</v>
      </c>
      <c r="G572">
        <v>33</v>
      </c>
      <c r="H572" t="s">
        <v>48</v>
      </c>
      <c r="I572" t="s">
        <v>23</v>
      </c>
      <c r="J572" s="1">
        <v>44598</v>
      </c>
      <c r="K572" t="s">
        <v>24</v>
      </c>
      <c r="L572" t="s">
        <v>894</v>
      </c>
      <c r="M572" t="s">
        <v>58</v>
      </c>
      <c r="N572">
        <v>15</v>
      </c>
      <c r="O572">
        <v>1</v>
      </c>
      <c r="P572">
        <v>15</v>
      </c>
      <c r="Q572" t="s">
        <v>27</v>
      </c>
      <c r="R572">
        <f>IF(tblSubscriptions[[#This Row],[churned]] = "Yes",1,0)</f>
        <v>1</v>
      </c>
      <c r="S572">
        <f t="shared" si="40"/>
        <v>1</v>
      </c>
      <c r="T572">
        <f t="shared" si="41"/>
        <v>1</v>
      </c>
      <c r="U572">
        <f t="shared" si="42"/>
        <v>1</v>
      </c>
      <c r="V572">
        <f t="shared" si="43"/>
        <v>3</v>
      </c>
      <c r="W572" t="str">
        <f t="shared" si="44"/>
        <v>High Risk</v>
      </c>
    </row>
    <row r="573" spans="1:23">
      <c r="A573" t="s">
        <v>895</v>
      </c>
      <c r="B573" t="s">
        <v>33</v>
      </c>
      <c r="C573" t="s">
        <v>19</v>
      </c>
      <c r="D573" t="s">
        <v>44</v>
      </c>
      <c r="E573" t="s">
        <v>47</v>
      </c>
      <c r="F573">
        <v>3</v>
      </c>
      <c r="G573">
        <v>38</v>
      </c>
      <c r="H573" t="s">
        <v>124</v>
      </c>
      <c r="I573" t="s">
        <v>64</v>
      </c>
      <c r="J573" s="1">
        <v>44873</v>
      </c>
      <c r="K573" t="s">
        <v>24</v>
      </c>
      <c r="L573" t="s">
        <v>896</v>
      </c>
      <c r="M573" t="s">
        <v>58</v>
      </c>
      <c r="N573">
        <v>6</v>
      </c>
      <c r="O573">
        <v>5</v>
      </c>
      <c r="P573">
        <v>33</v>
      </c>
      <c r="Q573" t="s">
        <v>27</v>
      </c>
      <c r="R573">
        <f>IF(tblSubscriptions[[#This Row],[churned]] = "Yes",1,0)</f>
        <v>1</v>
      </c>
      <c r="S573">
        <f t="shared" si="40"/>
        <v>1</v>
      </c>
      <c r="T573">
        <f t="shared" si="41"/>
        <v>1</v>
      </c>
      <c r="U573">
        <f t="shared" si="42"/>
        <v>0</v>
      </c>
      <c r="V573">
        <f t="shared" si="43"/>
        <v>2</v>
      </c>
      <c r="W573" t="str">
        <f t="shared" si="44"/>
        <v>High Risk</v>
      </c>
    </row>
    <row r="574" spans="1:23">
      <c r="A574" t="s">
        <v>897</v>
      </c>
      <c r="B574" t="s">
        <v>18</v>
      </c>
      <c r="C574" t="s">
        <v>29</v>
      </c>
      <c r="D574" t="s">
        <v>97</v>
      </c>
      <c r="E574" t="s">
        <v>21</v>
      </c>
      <c r="F574">
        <v>34</v>
      </c>
      <c r="G574">
        <v>400</v>
      </c>
      <c r="H574" t="s">
        <v>36</v>
      </c>
      <c r="I574" t="s">
        <v>64</v>
      </c>
      <c r="J574" s="1">
        <v>44789</v>
      </c>
      <c r="K574" t="s">
        <v>27</v>
      </c>
      <c r="L574" t="s">
        <v>31</v>
      </c>
      <c r="M574" t="s">
        <v>31</v>
      </c>
      <c r="N574">
        <v>6</v>
      </c>
      <c r="O574">
        <v>5</v>
      </c>
      <c r="P574">
        <v>39</v>
      </c>
      <c r="Q574" t="s">
        <v>27</v>
      </c>
      <c r="R574">
        <f>IF(tblSubscriptions[[#This Row],[churned]] = "Yes",1,0)</f>
        <v>0</v>
      </c>
      <c r="S574">
        <f t="shared" si="40"/>
        <v>1</v>
      </c>
      <c r="T574">
        <f t="shared" si="41"/>
        <v>1</v>
      </c>
      <c r="U574">
        <f t="shared" si="42"/>
        <v>0</v>
      </c>
      <c r="V574">
        <f t="shared" si="43"/>
        <v>2</v>
      </c>
      <c r="W574" t="str">
        <f t="shared" si="44"/>
        <v>High Risk</v>
      </c>
    </row>
    <row r="575" spans="1:23">
      <c r="A575" t="s">
        <v>898</v>
      </c>
      <c r="B575" t="s">
        <v>87</v>
      </c>
      <c r="C575" t="s">
        <v>19</v>
      </c>
      <c r="D575" t="s">
        <v>73</v>
      </c>
      <c r="E575" t="s">
        <v>21</v>
      </c>
      <c r="F575">
        <v>78</v>
      </c>
      <c r="G575">
        <v>6262</v>
      </c>
      <c r="H575" t="s">
        <v>70</v>
      </c>
      <c r="I575" t="s">
        <v>23</v>
      </c>
      <c r="J575" s="1">
        <v>45204</v>
      </c>
      <c r="K575" t="s">
        <v>27</v>
      </c>
      <c r="L575" t="s">
        <v>31</v>
      </c>
      <c r="M575" t="s">
        <v>31</v>
      </c>
      <c r="N575">
        <v>1</v>
      </c>
      <c r="O575">
        <v>9</v>
      </c>
      <c r="P575">
        <v>50</v>
      </c>
      <c r="Q575" t="s">
        <v>24</v>
      </c>
      <c r="R575">
        <f>IF(tblSubscriptions[[#This Row],[churned]] = "Yes",1,0)</f>
        <v>0</v>
      </c>
      <c r="S575">
        <f t="shared" si="40"/>
        <v>0</v>
      </c>
      <c r="T575">
        <f t="shared" si="41"/>
        <v>0</v>
      </c>
      <c r="U575">
        <f t="shared" si="42"/>
        <v>0</v>
      </c>
      <c r="V575">
        <f t="shared" si="43"/>
        <v>0</v>
      </c>
      <c r="W575" t="str">
        <f t="shared" si="44"/>
        <v>Low Risk</v>
      </c>
    </row>
    <row r="576" spans="1:23">
      <c r="A576" t="s">
        <v>899</v>
      </c>
      <c r="B576" t="s">
        <v>39</v>
      </c>
      <c r="C576" t="s">
        <v>29</v>
      </c>
      <c r="D576" t="s">
        <v>97</v>
      </c>
      <c r="E576" t="s">
        <v>21</v>
      </c>
      <c r="F576">
        <v>38</v>
      </c>
      <c r="G576">
        <v>1108</v>
      </c>
      <c r="H576" t="s">
        <v>48</v>
      </c>
      <c r="I576" t="s">
        <v>23</v>
      </c>
      <c r="J576" s="1">
        <v>45970</v>
      </c>
      <c r="K576" t="s">
        <v>27</v>
      </c>
      <c r="L576" t="s">
        <v>31</v>
      </c>
      <c r="M576" t="s">
        <v>31</v>
      </c>
      <c r="N576">
        <v>11</v>
      </c>
      <c r="O576">
        <v>8</v>
      </c>
      <c r="P576">
        <v>26</v>
      </c>
      <c r="Q576" t="s">
        <v>27</v>
      </c>
      <c r="R576">
        <f>IF(tblSubscriptions[[#This Row],[churned]] = "Yes",1,0)</f>
        <v>0</v>
      </c>
      <c r="S576">
        <f t="shared" si="40"/>
        <v>1</v>
      </c>
      <c r="T576">
        <f t="shared" si="41"/>
        <v>0</v>
      </c>
      <c r="U576">
        <f t="shared" si="42"/>
        <v>1</v>
      </c>
      <c r="V576">
        <f t="shared" si="43"/>
        <v>2</v>
      </c>
      <c r="W576" t="str">
        <f t="shared" si="44"/>
        <v>High Risk</v>
      </c>
    </row>
    <row r="577" spans="1:23">
      <c r="A577" t="s">
        <v>900</v>
      </c>
      <c r="B577" t="s">
        <v>33</v>
      </c>
      <c r="C577" t="s">
        <v>29</v>
      </c>
      <c r="D577" t="s">
        <v>44</v>
      </c>
      <c r="E577" t="s">
        <v>47</v>
      </c>
      <c r="F577">
        <v>4</v>
      </c>
      <c r="G577">
        <v>36</v>
      </c>
      <c r="H577" t="s">
        <v>36</v>
      </c>
      <c r="I577" t="s">
        <v>23</v>
      </c>
      <c r="J577" s="1">
        <v>45438</v>
      </c>
      <c r="K577" t="s">
        <v>24</v>
      </c>
      <c r="L577" t="s">
        <v>901</v>
      </c>
      <c r="M577" t="s">
        <v>26</v>
      </c>
      <c r="N577">
        <v>1</v>
      </c>
      <c r="O577">
        <v>5</v>
      </c>
      <c r="P577">
        <v>35</v>
      </c>
      <c r="Q577" t="s">
        <v>27</v>
      </c>
      <c r="R577">
        <f>IF(tblSubscriptions[[#This Row],[churned]] = "Yes",1,0)</f>
        <v>1</v>
      </c>
      <c r="S577">
        <f t="shared" si="40"/>
        <v>1</v>
      </c>
      <c r="T577">
        <f t="shared" si="41"/>
        <v>1</v>
      </c>
      <c r="U577">
        <f t="shared" si="42"/>
        <v>0</v>
      </c>
      <c r="V577">
        <f t="shared" si="43"/>
        <v>2</v>
      </c>
      <c r="W577" t="str">
        <f t="shared" si="44"/>
        <v>High Risk</v>
      </c>
    </row>
    <row r="578" spans="1:23">
      <c r="A578" t="s">
        <v>902</v>
      </c>
      <c r="B578" t="s">
        <v>33</v>
      </c>
      <c r="C578" t="s">
        <v>29</v>
      </c>
      <c r="D578" t="s">
        <v>34</v>
      </c>
      <c r="E578" t="s">
        <v>50</v>
      </c>
      <c r="F578">
        <v>123</v>
      </c>
      <c r="G578">
        <v>476</v>
      </c>
      <c r="H578" t="s">
        <v>70</v>
      </c>
      <c r="I578" t="s">
        <v>23</v>
      </c>
      <c r="J578" s="1">
        <v>44791</v>
      </c>
      <c r="K578" t="s">
        <v>24</v>
      </c>
      <c r="L578" t="s">
        <v>903</v>
      </c>
      <c r="M578" t="s">
        <v>26</v>
      </c>
      <c r="N578">
        <v>5</v>
      </c>
      <c r="O578">
        <v>3</v>
      </c>
      <c r="P578">
        <v>22</v>
      </c>
      <c r="Q578" t="s">
        <v>27</v>
      </c>
      <c r="R578">
        <f>IF(tblSubscriptions[[#This Row],[churned]] = "Yes",1,0)</f>
        <v>1</v>
      </c>
      <c r="S578">
        <f t="shared" ref="S578:S601" si="45">IF(P578&lt;50,1,0)</f>
        <v>1</v>
      </c>
      <c r="T578">
        <f t="shared" ref="T578:T601" si="46">IF(O578&lt;=6,1,0)</f>
        <v>1</v>
      </c>
      <c r="U578">
        <f t="shared" ref="U578:U601" si="47">IF(N578&gt;=11,1,0)</f>
        <v>0</v>
      </c>
      <c r="V578">
        <f t="shared" ref="V578:V601" si="48">S578+T578+U578</f>
        <v>2</v>
      </c>
      <c r="W578" t="str">
        <f t="shared" ref="W578:W601" si="49">IF(V578&gt;=2,"High Risk",IF(V578=1,"Medium Risk","Low Risk"))</f>
        <v>High Risk</v>
      </c>
    </row>
    <row r="579" spans="1:23">
      <c r="A579" t="s">
        <v>904</v>
      </c>
      <c r="B579" t="s">
        <v>18</v>
      </c>
      <c r="C579" t="s">
        <v>19</v>
      </c>
      <c r="D579" t="s">
        <v>73</v>
      </c>
      <c r="E579" t="s">
        <v>35</v>
      </c>
      <c r="F579">
        <v>74</v>
      </c>
      <c r="G579">
        <v>944</v>
      </c>
      <c r="H579" t="s">
        <v>22</v>
      </c>
      <c r="I579" t="s">
        <v>23</v>
      </c>
      <c r="J579" s="1">
        <v>45359</v>
      </c>
      <c r="K579" t="s">
        <v>24</v>
      </c>
      <c r="L579" t="s">
        <v>528</v>
      </c>
      <c r="M579" t="s">
        <v>102</v>
      </c>
      <c r="N579">
        <v>9</v>
      </c>
      <c r="O579">
        <v>3</v>
      </c>
      <c r="P579">
        <v>38</v>
      </c>
      <c r="Q579" t="s">
        <v>27</v>
      </c>
      <c r="R579">
        <f>IF(tblSubscriptions[[#This Row],[churned]] = "Yes",1,0)</f>
        <v>1</v>
      </c>
      <c r="S579">
        <f t="shared" si="45"/>
        <v>1</v>
      </c>
      <c r="T579">
        <f t="shared" si="46"/>
        <v>1</v>
      </c>
      <c r="U579">
        <f t="shared" si="47"/>
        <v>0</v>
      </c>
      <c r="V579">
        <f t="shared" si="48"/>
        <v>2</v>
      </c>
      <c r="W579" t="str">
        <f t="shared" si="49"/>
        <v>High Risk</v>
      </c>
    </row>
    <row r="580" spans="1:23">
      <c r="A580" t="s">
        <v>905</v>
      </c>
      <c r="B580" t="s">
        <v>18</v>
      </c>
      <c r="C580" t="s">
        <v>19</v>
      </c>
      <c r="D580" t="s">
        <v>34</v>
      </c>
      <c r="E580" t="s">
        <v>41</v>
      </c>
      <c r="F580">
        <v>9</v>
      </c>
      <c r="G580">
        <v>174</v>
      </c>
      <c r="H580" t="s">
        <v>30</v>
      </c>
      <c r="I580" t="s">
        <v>23</v>
      </c>
      <c r="J580" s="1">
        <v>45922</v>
      </c>
      <c r="K580" t="s">
        <v>27</v>
      </c>
      <c r="L580" t="s">
        <v>31</v>
      </c>
      <c r="M580" t="s">
        <v>31</v>
      </c>
      <c r="N580">
        <v>8</v>
      </c>
      <c r="O580">
        <v>8</v>
      </c>
      <c r="P580">
        <v>74</v>
      </c>
      <c r="Q580" t="s">
        <v>27</v>
      </c>
      <c r="R580">
        <f>IF(tblSubscriptions[[#This Row],[churned]] = "Yes",1,0)</f>
        <v>0</v>
      </c>
      <c r="S580">
        <f t="shared" si="45"/>
        <v>0</v>
      </c>
      <c r="T580">
        <f t="shared" si="46"/>
        <v>0</v>
      </c>
      <c r="U580">
        <f t="shared" si="47"/>
        <v>0</v>
      </c>
      <c r="V580">
        <f t="shared" si="48"/>
        <v>0</v>
      </c>
      <c r="W580" t="str">
        <f t="shared" si="49"/>
        <v>Low Risk</v>
      </c>
    </row>
    <row r="581" spans="1:23">
      <c r="A581" t="s">
        <v>906</v>
      </c>
      <c r="B581" t="s">
        <v>18</v>
      </c>
      <c r="C581" t="s">
        <v>19</v>
      </c>
      <c r="D581" t="s">
        <v>73</v>
      </c>
      <c r="E581" t="s">
        <v>50</v>
      </c>
      <c r="F581">
        <v>33</v>
      </c>
      <c r="G581">
        <v>458</v>
      </c>
      <c r="H581" t="s">
        <v>48</v>
      </c>
      <c r="I581" t="s">
        <v>23</v>
      </c>
      <c r="J581" s="1">
        <v>45371</v>
      </c>
      <c r="K581" t="s">
        <v>24</v>
      </c>
      <c r="L581" t="s">
        <v>907</v>
      </c>
      <c r="M581" t="s">
        <v>26</v>
      </c>
      <c r="N581">
        <v>13</v>
      </c>
      <c r="O581">
        <v>2</v>
      </c>
      <c r="P581">
        <v>39</v>
      </c>
      <c r="Q581" t="s">
        <v>27</v>
      </c>
      <c r="R581">
        <f>IF(tblSubscriptions[[#This Row],[churned]] = "Yes",1,0)</f>
        <v>1</v>
      </c>
      <c r="S581">
        <f t="shared" si="45"/>
        <v>1</v>
      </c>
      <c r="T581">
        <f t="shared" si="46"/>
        <v>1</v>
      </c>
      <c r="U581">
        <f t="shared" si="47"/>
        <v>1</v>
      </c>
      <c r="V581">
        <f t="shared" si="48"/>
        <v>3</v>
      </c>
      <c r="W581" t="str">
        <f t="shared" si="49"/>
        <v>High Risk</v>
      </c>
    </row>
    <row r="582" spans="1:23">
      <c r="A582" t="s">
        <v>908</v>
      </c>
      <c r="B582" t="s">
        <v>39</v>
      </c>
      <c r="C582" t="s">
        <v>19</v>
      </c>
      <c r="D582" t="s">
        <v>46</v>
      </c>
      <c r="E582" t="s">
        <v>50</v>
      </c>
      <c r="F582">
        <v>105</v>
      </c>
      <c r="G582">
        <v>3303</v>
      </c>
      <c r="H582" t="s">
        <v>30</v>
      </c>
      <c r="I582" t="s">
        <v>64</v>
      </c>
      <c r="J582" s="1">
        <v>45606</v>
      </c>
      <c r="K582" t="s">
        <v>27</v>
      </c>
      <c r="L582" t="s">
        <v>31</v>
      </c>
      <c r="M582" t="s">
        <v>31</v>
      </c>
      <c r="N582">
        <v>0</v>
      </c>
      <c r="O582">
        <v>8</v>
      </c>
      <c r="P582">
        <v>75</v>
      </c>
      <c r="Q582" t="s">
        <v>24</v>
      </c>
      <c r="R582">
        <f>IF(tblSubscriptions[[#This Row],[churned]] = "Yes",1,0)</f>
        <v>0</v>
      </c>
      <c r="S582">
        <f t="shared" si="45"/>
        <v>0</v>
      </c>
      <c r="T582">
        <f t="shared" si="46"/>
        <v>0</v>
      </c>
      <c r="U582">
        <f t="shared" si="47"/>
        <v>0</v>
      </c>
      <c r="V582">
        <f t="shared" si="48"/>
        <v>0</v>
      </c>
      <c r="W582" t="str">
        <f t="shared" si="49"/>
        <v>Low Risk</v>
      </c>
    </row>
    <row r="583" spans="1:23">
      <c r="A583" t="s">
        <v>909</v>
      </c>
      <c r="B583" t="s">
        <v>18</v>
      </c>
      <c r="C583" t="s">
        <v>19</v>
      </c>
      <c r="D583" t="s">
        <v>97</v>
      </c>
      <c r="E583" t="s">
        <v>41</v>
      </c>
      <c r="F583">
        <v>35</v>
      </c>
      <c r="G583">
        <v>482</v>
      </c>
      <c r="H583" t="s">
        <v>36</v>
      </c>
      <c r="I583" t="s">
        <v>23</v>
      </c>
      <c r="J583" s="1">
        <v>45249</v>
      </c>
      <c r="K583" t="s">
        <v>24</v>
      </c>
      <c r="L583" t="s">
        <v>910</v>
      </c>
      <c r="M583" t="s">
        <v>52</v>
      </c>
      <c r="N583">
        <v>0</v>
      </c>
      <c r="O583">
        <v>2</v>
      </c>
      <c r="P583">
        <v>32</v>
      </c>
      <c r="Q583" t="s">
        <v>27</v>
      </c>
      <c r="R583">
        <f>IF(tblSubscriptions[[#This Row],[churned]] = "Yes",1,0)</f>
        <v>1</v>
      </c>
      <c r="S583">
        <f t="shared" si="45"/>
        <v>1</v>
      </c>
      <c r="T583">
        <f t="shared" si="46"/>
        <v>1</v>
      </c>
      <c r="U583">
        <f t="shared" si="47"/>
        <v>0</v>
      </c>
      <c r="V583">
        <f t="shared" si="48"/>
        <v>2</v>
      </c>
      <c r="W583" t="str">
        <f t="shared" si="49"/>
        <v>High Risk</v>
      </c>
    </row>
    <row r="584" spans="1:23">
      <c r="A584" t="s">
        <v>911</v>
      </c>
      <c r="B584" t="s">
        <v>18</v>
      </c>
      <c r="C584" t="s">
        <v>19</v>
      </c>
      <c r="D584" t="s">
        <v>34</v>
      </c>
      <c r="E584" t="s">
        <v>47</v>
      </c>
      <c r="F584">
        <v>4</v>
      </c>
      <c r="G584">
        <v>115</v>
      </c>
      <c r="H584" t="s">
        <v>124</v>
      </c>
      <c r="I584" t="s">
        <v>23</v>
      </c>
      <c r="J584" s="1">
        <v>45825</v>
      </c>
      <c r="K584" t="s">
        <v>24</v>
      </c>
      <c r="L584" t="s">
        <v>912</v>
      </c>
      <c r="M584" t="s">
        <v>26</v>
      </c>
      <c r="N584">
        <v>3</v>
      </c>
      <c r="O584">
        <v>5</v>
      </c>
      <c r="P584">
        <v>50</v>
      </c>
      <c r="Q584" t="s">
        <v>27</v>
      </c>
      <c r="R584">
        <f>IF(tblSubscriptions[[#This Row],[churned]] = "Yes",1,0)</f>
        <v>1</v>
      </c>
      <c r="S584">
        <f t="shared" si="45"/>
        <v>0</v>
      </c>
      <c r="T584">
        <f t="shared" si="46"/>
        <v>1</v>
      </c>
      <c r="U584">
        <f t="shared" si="47"/>
        <v>0</v>
      </c>
      <c r="V584">
        <f t="shared" si="48"/>
        <v>1</v>
      </c>
      <c r="W584" t="str">
        <f t="shared" si="49"/>
        <v>Medium Risk</v>
      </c>
    </row>
    <row r="585" spans="1:23">
      <c r="A585" t="s">
        <v>913</v>
      </c>
      <c r="B585" t="s">
        <v>39</v>
      </c>
      <c r="C585" t="s">
        <v>19</v>
      </c>
      <c r="D585" t="s">
        <v>56</v>
      </c>
      <c r="E585" t="s">
        <v>41</v>
      </c>
      <c r="F585">
        <v>18</v>
      </c>
      <c r="G585">
        <v>706</v>
      </c>
      <c r="H585" t="s">
        <v>22</v>
      </c>
      <c r="I585" t="s">
        <v>23</v>
      </c>
      <c r="J585" s="1">
        <v>45956</v>
      </c>
      <c r="K585" t="s">
        <v>27</v>
      </c>
      <c r="L585" t="s">
        <v>31</v>
      </c>
      <c r="M585" t="s">
        <v>31</v>
      </c>
      <c r="N585">
        <v>0</v>
      </c>
      <c r="O585">
        <v>1</v>
      </c>
      <c r="P585">
        <v>37</v>
      </c>
      <c r="Q585" t="s">
        <v>27</v>
      </c>
      <c r="R585">
        <f>IF(tblSubscriptions[[#This Row],[churned]] = "Yes",1,0)</f>
        <v>0</v>
      </c>
      <c r="S585">
        <f t="shared" si="45"/>
        <v>1</v>
      </c>
      <c r="T585">
        <f t="shared" si="46"/>
        <v>1</v>
      </c>
      <c r="U585">
        <f t="shared" si="47"/>
        <v>0</v>
      </c>
      <c r="V585">
        <f t="shared" si="48"/>
        <v>2</v>
      </c>
      <c r="W585" t="str">
        <f t="shared" si="49"/>
        <v>High Risk</v>
      </c>
    </row>
    <row r="586" spans="1:23">
      <c r="A586" t="s">
        <v>914</v>
      </c>
      <c r="B586" t="s">
        <v>39</v>
      </c>
      <c r="C586" t="s">
        <v>19</v>
      </c>
      <c r="D586" t="s">
        <v>46</v>
      </c>
      <c r="E586" t="s">
        <v>41</v>
      </c>
      <c r="F586">
        <v>5</v>
      </c>
      <c r="G586">
        <v>318</v>
      </c>
      <c r="H586" t="s">
        <v>30</v>
      </c>
      <c r="I586" t="s">
        <v>23</v>
      </c>
      <c r="J586" s="1">
        <v>45246</v>
      </c>
      <c r="K586" t="s">
        <v>27</v>
      </c>
      <c r="L586" t="s">
        <v>31</v>
      </c>
      <c r="M586" t="s">
        <v>31</v>
      </c>
      <c r="N586">
        <v>0</v>
      </c>
      <c r="O586">
        <v>4</v>
      </c>
      <c r="P586">
        <v>77</v>
      </c>
      <c r="Q586" t="s">
        <v>24</v>
      </c>
      <c r="R586">
        <f>IF(tblSubscriptions[[#This Row],[churned]] = "Yes",1,0)</f>
        <v>0</v>
      </c>
      <c r="S586">
        <f t="shared" si="45"/>
        <v>0</v>
      </c>
      <c r="T586">
        <f t="shared" si="46"/>
        <v>1</v>
      </c>
      <c r="U586">
        <f t="shared" si="47"/>
        <v>0</v>
      </c>
      <c r="V586">
        <f t="shared" si="48"/>
        <v>1</v>
      </c>
      <c r="W586" t="str">
        <f t="shared" si="49"/>
        <v>Medium Risk</v>
      </c>
    </row>
    <row r="587" spans="1:23">
      <c r="A587" t="s">
        <v>915</v>
      </c>
      <c r="B587" t="s">
        <v>33</v>
      </c>
      <c r="C587" t="s">
        <v>19</v>
      </c>
      <c r="D587" t="s">
        <v>60</v>
      </c>
      <c r="E587" t="s">
        <v>50</v>
      </c>
      <c r="F587">
        <v>116</v>
      </c>
      <c r="G587">
        <v>529</v>
      </c>
      <c r="H587" t="s">
        <v>70</v>
      </c>
      <c r="I587" t="s">
        <v>23</v>
      </c>
      <c r="J587" s="1">
        <v>45941</v>
      </c>
      <c r="K587" t="s">
        <v>27</v>
      </c>
      <c r="L587" t="s">
        <v>31</v>
      </c>
      <c r="M587" t="s">
        <v>31</v>
      </c>
      <c r="N587">
        <v>6</v>
      </c>
      <c r="O587">
        <v>3</v>
      </c>
      <c r="P587">
        <v>68</v>
      </c>
      <c r="Q587" t="s">
        <v>27</v>
      </c>
      <c r="R587">
        <f>IF(tblSubscriptions[[#This Row],[churned]] = "Yes",1,0)</f>
        <v>0</v>
      </c>
      <c r="S587">
        <f t="shared" si="45"/>
        <v>0</v>
      </c>
      <c r="T587">
        <f t="shared" si="46"/>
        <v>1</v>
      </c>
      <c r="U587">
        <f t="shared" si="47"/>
        <v>0</v>
      </c>
      <c r="V587">
        <f t="shared" si="48"/>
        <v>1</v>
      </c>
      <c r="W587" t="str">
        <f t="shared" si="49"/>
        <v>Medium Risk</v>
      </c>
    </row>
    <row r="588" spans="1:23">
      <c r="A588" t="s">
        <v>916</v>
      </c>
      <c r="B588" t="s">
        <v>39</v>
      </c>
      <c r="C588" t="s">
        <v>19</v>
      </c>
      <c r="D588" t="s">
        <v>46</v>
      </c>
      <c r="E588" t="s">
        <v>47</v>
      </c>
      <c r="F588">
        <v>1</v>
      </c>
      <c r="G588">
        <v>199</v>
      </c>
      <c r="H588" t="s">
        <v>48</v>
      </c>
      <c r="I588" t="s">
        <v>84</v>
      </c>
      <c r="J588" s="1">
        <v>44808</v>
      </c>
      <c r="K588" t="s">
        <v>27</v>
      </c>
      <c r="L588" t="s">
        <v>31</v>
      </c>
      <c r="M588" t="s">
        <v>31</v>
      </c>
      <c r="N588">
        <v>2</v>
      </c>
      <c r="O588">
        <v>6</v>
      </c>
      <c r="P588">
        <v>84</v>
      </c>
      <c r="Q588" t="s">
        <v>24</v>
      </c>
      <c r="R588">
        <f>IF(tblSubscriptions[[#This Row],[churned]] = "Yes",1,0)</f>
        <v>0</v>
      </c>
      <c r="S588">
        <f t="shared" si="45"/>
        <v>0</v>
      </c>
      <c r="T588">
        <f t="shared" si="46"/>
        <v>1</v>
      </c>
      <c r="U588">
        <f t="shared" si="47"/>
        <v>0</v>
      </c>
      <c r="V588">
        <f t="shared" si="48"/>
        <v>1</v>
      </c>
      <c r="W588" t="str">
        <f t="shared" si="49"/>
        <v>Medium Risk</v>
      </c>
    </row>
    <row r="589" spans="1:23">
      <c r="A589" t="s">
        <v>917</v>
      </c>
      <c r="B589" t="s">
        <v>39</v>
      </c>
      <c r="C589" t="s">
        <v>19</v>
      </c>
      <c r="D589" t="s">
        <v>20</v>
      </c>
      <c r="E589" t="s">
        <v>41</v>
      </c>
      <c r="F589">
        <v>33</v>
      </c>
      <c r="G589">
        <v>1154</v>
      </c>
      <c r="H589" t="s">
        <v>22</v>
      </c>
      <c r="I589" t="s">
        <v>84</v>
      </c>
      <c r="J589" s="1">
        <v>44943</v>
      </c>
      <c r="K589" t="s">
        <v>24</v>
      </c>
      <c r="L589" t="s">
        <v>918</v>
      </c>
      <c r="M589" t="s">
        <v>58</v>
      </c>
      <c r="N589">
        <v>1</v>
      </c>
      <c r="O589">
        <v>3</v>
      </c>
      <c r="P589">
        <v>37</v>
      </c>
      <c r="Q589" t="s">
        <v>27</v>
      </c>
      <c r="R589">
        <f>IF(tblSubscriptions[[#This Row],[churned]] = "Yes",1,0)</f>
        <v>1</v>
      </c>
      <c r="S589">
        <f t="shared" si="45"/>
        <v>1</v>
      </c>
      <c r="T589">
        <f t="shared" si="46"/>
        <v>1</v>
      </c>
      <c r="U589">
        <f t="shared" si="47"/>
        <v>0</v>
      </c>
      <c r="V589">
        <f t="shared" si="48"/>
        <v>2</v>
      </c>
      <c r="W589" t="str">
        <f t="shared" si="49"/>
        <v>High Risk</v>
      </c>
    </row>
    <row r="590" spans="1:23">
      <c r="A590" t="s">
        <v>919</v>
      </c>
      <c r="B590" t="s">
        <v>33</v>
      </c>
      <c r="C590" t="s">
        <v>29</v>
      </c>
      <c r="D590" t="s">
        <v>60</v>
      </c>
      <c r="E590" t="s">
        <v>47</v>
      </c>
      <c r="F590">
        <v>7</v>
      </c>
      <c r="G590">
        <v>47</v>
      </c>
      <c r="H590" t="s">
        <v>48</v>
      </c>
      <c r="I590" t="s">
        <v>84</v>
      </c>
      <c r="J590" s="1">
        <v>45251</v>
      </c>
      <c r="K590" t="s">
        <v>24</v>
      </c>
      <c r="L590" t="s">
        <v>920</v>
      </c>
      <c r="M590" t="s">
        <v>62</v>
      </c>
      <c r="N590">
        <v>11</v>
      </c>
      <c r="O590">
        <v>1</v>
      </c>
      <c r="P590">
        <v>18</v>
      </c>
      <c r="Q590" t="s">
        <v>27</v>
      </c>
      <c r="R590">
        <f>IF(tblSubscriptions[[#This Row],[churned]] = "Yes",1,0)</f>
        <v>1</v>
      </c>
      <c r="S590">
        <f t="shared" si="45"/>
        <v>1</v>
      </c>
      <c r="T590">
        <f t="shared" si="46"/>
        <v>1</v>
      </c>
      <c r="U590">
        <f t="shared" si="47"/>
        <v>1</v>
      </c>
      <c r="V590">
        <f t="shared" si="48"/>
        <v>3</v>
      </c>
      <c r="W590" t="str">
        <f t="shared" si="49"/>
        <v>High Risk</v>
      </c>
    </row>
    <row r="591" spans="1:23">
      <c r="A591" t="s">
        <v>921</v>
      </c>
      <c r="B591" t="s">
        <v>33</v>
      </c>
      <c r="C591" t="s">
        <v>19</v>
      </c>
      <c r="D591" t="s">
        <v>97</v>
      </c>
      <c r="E591" t="s">
        <v>41</v>
      </c>
      <c r="F591">
        <v>21</v>
      </c>
      <c r="G591">
        <v>116</v>
      </c>
      <c r="H591" t="s">
        <v>22</v>
      </c>
      <c r="I591" t="s">
        <v>84</v>
      </c>
      <c r="J591" s="1">
        <v>45189</v>
      </c>
      <c r="K591" t="s">
        <v>24</v>
      </c>
      <c r="L591" t="s">
        <v>280</v>
      </c>
      <c r="M591" t="s">
        <v>75</v>
      </c>
      <c r="N591">
        <v>11</v>
      </c>
      <c r="O591">
        <v>3</v>
      </c>
      <c r="P591">
        <v>16</v>
      </c>
      <c r="Q591" t="s">
        <v>27</v>
      </c>
      <c r="R591">
        <f>IF(tblSubscriptions[[#This Row],[churned]] = "Yes",1,0)</f>
        <v>1</v>
      </c>
      <c r="S591">
        <f t="shared" si="45"/>
        <v>1</v>
      </c>
      <c r="T591">
        <f t="shared" si="46"/>
        <v>1</v>
      </c>
      <c r="U591">
        <f t="shared" si="47"/>
        <v>1</v>
      </c>
      <c r="V591">
        <f t="shared" si="48"/>
        <v>3</v>
      </c>
      <c r="W591" t="str">
        <f t="shared" si="49"/>
        <v>High Risk</v>
      </c>
    </row>
    <row r="592" spans="1:23">
      <c r="A592" t="s">
        <v>922</v>
      </c>
      <c r="B592" t="s">
        <v>39</v>
      </c>
      <c r="C592" t="s">
        <v>19</v>
      </c>
      <c r="D592" t="s">
        <v>46</v>
      </c>
      <c r="E592" t="s">
        <v>41</v>
      </c>
      <c r="F592">
        <v>6</v>
      </c>
      <c r="G592">
        <v>348</v>
      </c>
      <c r="H592" t="s">
        <v>22</v>
      </c>
      <c r="I592" t="s">
        <v>23</v>
      </c>
      <c r="J592" s="1">
        <v>45252</v>
      </c>
      <c r="K592" t="s">
        <v>27</v>
      </c>
      <c r="L592" t="s">
        <v>31</v>
      </c>
      <c r="M592" t="s">
        <v>31</v>
      </c>
      <c r="N592">
        <v>1</v>
      </c>
      <c r="O592">
        <v>2</v>
      </c>
      <c r="P592">
        <v>27</v>
      </c>
      <c r="Q592" t="s">
        <v>24</v>
      </c>
      <c r="R592">
        <f>IF(tblSubscriptions[[#This Row],[churned]] = "Yes",1,0)</f>
        <v>0</v>
      </c>
      <c r="S592">
        <f t="shared" si="45"/>
        <v>1</v>
      </c>
      <c r="T592">
        <f t="shared" si="46"/>
        <v>1</v>
      </c>
      <c r="U592">
        <f t="shared" si="47"/>
        <v>0</v>
      </c>
      <c r="V592">
        <f t="shared" si="48"/>
        <v>2</v>
      </c>
      <c r="W592" t="str">
        <f t="shared" si="49"/>
        <v>High Risk</v>
      </c>
    </row>
    <row r="593" spans="1:23">
      <c r="A593" t="s">
        <v>923</v>
      </c>
      <c r="B593" t="s">
        <v>18</v>
      </c>
      <c r="C593" t="s">
        <v>19</v>
      </c>
      <c r="D593" t="s">
        <v>56</v>
      </c>
      <c r="E593" t="s">
        <v>41</v>
      </c>
      <c r="F593">
        <v>6</v>
      </c>
      <c r="G593">
        <v>138</v>
      </c>
      <c r="H593" t="s">
        <v>36</v>
      </c>
      <c r="I593" t="s">
        <v>42</v>
      </c>
      <c r="J593" s="1">
        <v>44836</v>
      </c>
      <c r="K593" t="s">
        <v>24</v>
      </c>
      <c r="L593" t="s">
        <v>924</v>
      </c>
      <c r="M593" t="s">
        <v>52</v>
      </c>
      <c r="N593">
        <v>5</v>
      </c>
      <c r="O593">
        <v>3</v>
      </c>
      <c r="P593">
        <v>11</v>
      </c>
      <c r="Q593" t="s">
        <v>27</v>
      </c>
      <c r="R593">
        <f>IF(tblSubscriptions[[#This Row],[churned]] = "Yes",1,0)</f>
        <v>1</v>
      </c>
      <c r="S593">
        <f t="shared" si="45"/>
        <v>1</v>
      </c>
      <c r="T593">
        <f t="shared" si="46"/>
        <v>1</v>
      </c>
      <c r="U593">
        <f t="shared" si="47"/>
        <v>0</v>
      </c>
      <c r="V593">
        <f t="shared" si="48"/>
        <v>2</v>
      </c>
      <c r="W593" t="str">
        <f t="shared" si="49"/>
        <v>High Risk</v>
      </c>
    </row>
    <row r="594" spans="1:23">
      <c r="A594" t="s">
        <v>925</v>
      </c>
      <c r="B594" t="s">
        <v>39</v>
      </c>
      <c r="C594" t="s">
        <v>19</v>
      </c>
      <c r="D594" t="s">
        <v>40</v>
      </c>
      <c r="E594" t="s">
        <v>21</v>
      </c>
      <c r="F594">
        <v>47</v>
      </c>
      <c r="G594">
        <v>1572</v>
      </c>
      <c r="H594" t="s">
        <v>22</v>
      </c>
      <c r="I594" t="s">
        <v>23</v>
      </c>
      <c r="J594" s="1">
        <v>44964</v>
      </c>
      <c r="K594" t="s">
        <v>27</v>
      </c>
      <c r="L594" t="s">
        <v>31</v>
      </c>
      <c r="M594" t="s">
        <v>31</v>
      </c>
      <c r="N594">
        <v>1</v>
      </c>
      <c r="O594">
        <v>9</v>
      </c>
      <c r="P594">
        <v>27</v>
      </c>
      <c r="Q594" t="s">
        <v>27</v>
      </c>
      <c r="R594">
        <f>IF(tblSubscriptions[[#This Row],[churned]] = "Yes",1,0)</f>
        <v>0</v>
      </c>
      <c r="S594">
        <f t="shared" si="45"/>
        <v>1</v>
      </c>
      <c r="T594">
        <f t="shared" si="46"/>
        <v>0</v>
      </c>
      <c r="U594">
        <f t="shared" si="47"/>
        <v>0</v>
      </c>
      <c r="V594">
        <f t="shared" si="48"/>
        <v>1</v>
      </c>
      <c r="W594" t="str">
        <f t="shared" si="49"/>
        <v>Medium Risk</v>
      </c>
    </row>
    <row r="595" spans="1:23">
      <c r="A595" t="s">
        <v>926</v>
      </c>
      <c r="B595" t="s">
        <v>39</v>
      </c>
      <c r="C595" t="s">
        <v>29</v>
      </c>
      <c r="D595" t="s">
        <v>83</v>
      </c>
      <c r="E595" t="s">
        <v>21</v>
      </c>
      <c r="F595">
        <v>76</v>
      </c>
      <c r="G595">
        <v>2072</v>
      </c>
      <c r="H595" t="s">
        <v>22</v>
      </c>
      <c r="I595" t="s">
        <v>64</v>
      </c>
      <c r="J595" s="1">
        <v>44909</v>
      </c>
      <c r="K595" t="s">
        <v>24</v>
      </c>
      <c r="L595" t="s">
        <v>927</v>
      </c>
      <c r="M595" t="s">
        <v>26</v>
      </c>
      <c r="N595">
        <v>4</v>
      </c>
      <c r="O595">
        <v>2</v>
      </c>
      <c r="P595">
        <v>35</v>
      </c>
      <c r="Q595" t="s">
        <v>27</v>
      </c>
      <c r="R595">
        <f>IF(tblSubscriptions[[#This Row],[churned]] = "Yes",1,0)</f>
        <v>1</v>
      </c>
      <c r="S595">
        <f t="shared" si="45"/>
        <v>1</v>
      </c>
      <c r="T595">
        <f t="shared" si="46"/>
        <v>1</v>
      </c>
      <c r="U595">
        <f t="shared" si="47"/>
        <v>0</v>
      </c>
      <c r="V595">
        <f t="shared" si="48"/>
        <v>2</v>
      </c>
      <c r="W595" t="str">
        <f t="shared" si="49"/>
        <v>High Risk</v>
      </c>
    </row>
    <row r="596" spans="1:23">
      <c r="A596" t="s">
        <v>928</v>
      </c>
      <c r="B596" t="s">
        <v>39</v>
      </c>
      <c r="C596" t="s">
        <v>19</v>
      </c>
      <c r="D596" t="s">
        <v>44</v>
      </c>
      <c r="E596" t="s">
        <v>41</v>
      </c>
      <c r="F596">
        <v>11</v>
      </c>
      <c r="G596">
        <v>498</v>
      </c>
      <c r="H596" t="s">
        <v>22</v>
      </c>
      <c r="I596" t="s">
        <v>42</v>
      </c>
      <c r="J596" s="1">
        <v>45027</v>
      </c>
      <c r="K596" t="s">
        <v>24</v>
      </c>
      <c r="L596" t="s">
        <v>929</v>
      </c>
      <c r="M596" t="s">
        <v>102</v>
      </c>
      <c r="N596">
        <v>3</v>
      </c>
      <c r="O596">
        <v>3</v>
      </c>
      <c r="P596">
        <v>48</v>
      </c>
      <c r="Q596" t="s">
        <v>27</v>
      </c>
      <c r="R596">
        <f>IF(tblSubscriptions[[#This Row],[churned]] = "Yes",1,0)</f>
        <v>1</v>
      </c>
      <c r="S596">
        <f t="shared" si="45"/>
        <v>1</v>
      </c>
      <c r="T596">
        <f t="shared" si="46"/>
        <v>1</v>
      </c>
      <c r="U596">
        <f t="shared" si="47"/>
        <v>0</v>
      </c>
      <c r="V596">
        <f t="shared" si="48"/>
        <v>2</v>
      </c>
      <c r="W596" t="str">
        <f t="shared" si="49"/>
        <v>High Risk</v>
      </c>
    </row>
    <row r="597" spans="1:23">
      <c r="A597" t="s">
        <v>930</v>
      </c>
      <c r="B597" t="s">
        <v>18</v>
      </c>
      <c r="C597" t="s">
        <v>29</v>
      </c>
      <c r="D597" t="s">
        <v>60</v>
      </c>
      <c r="E597" t="s">
        <v>41</v>
      </c>
      <c r="F597">
        <v>32</v>
      </c>
      <c r="G597">
        <v>379</v>
      </c>
      <c r="H597" t="s">
        <v>48</v>
      </c>
      <c r="I597" t="s">
        <v>23</v>
      </c>
      <c r="J597" s="1">
        <v>45631</v>
      </c>
      <c r="K597" t="s">
        <v>27</v>
      </c>
      <c r="L597" t="s">
        <v>31</v>
      </c>
      <c r="M597" t="s">
        <v>31</v>
      </c>
      <c r="N597">
        <v>3</v>
      </c>
      <c r="O597">
        <v>6</v>
      </c>
      <c r="P597">
        <v>65</v>
      </c>
      <c r="Q597" t="s">
        <v>24</v>
      </c>
      <c r="R597">
        <f>IF(tblSubscriptions[[#This Row],[churned]] = "Yes",1,0)</f>
        <v>0</v>
      </c>
      <c r="S597">
        <f t="shared" si="45"/>
        <v>0</v>
      </c>
      <c r="T597">
        <f t="shared" si="46"/>
        <v>1</v>
      </c>
      <c r="U597">
        <f t="shared" si="47"/>
        <v>0</v>
      </c>
      <c r="V597">
        <f t="shared" si="48"/>
        <v>1</v>
      </c>
      <c r="W597" t="str">
        <f t="shared" si="49"/>
        <v>Medium Risk</v>
      </c>
    </row>
    <row r="598" spans="1:23">
      <c r="A598" t="s">
        <v>931</v>
      </c>
      <c r="B598" t="s">
        <v>18</v>
      </c>
      <c r="C598" t="s">
        <v>29</v>
      </c>
      <c r="D598" t="s">
        <v>46</v>
      </c>
      <c r="E598" t="s">
        <v>50</v>
      </c>
      <c r="F598">
        <v>106</v>
      </c>
      <c r="G598">
        <v>1125</v>
      </c>
      <c r="H598" t="s">
        <v>30</v>
      </c>
      <c r="I598" t="s">
        <v>42</v>
      </c>
      <c r="J598" s="1">
        <v>45102</v>
      </c>
      <c r="K598" t="s">
        <v>27</v>
      </c>
      <c r="L598" t="s">
        <v>31</v>
      </c>
      <c r="M598" t="s">
        <v>31</v>
      </c>
      <c r="N598">
        <v>3</v>
      </c>
      <c r="O598">
        <v>3</v>
      </c>
      <c r="P598">
        <v>57</v>
      </c>
      <c r="Q598" t="s">
        <v>27</v>
      </c>
      <c r="R598">
        <f>IF(tblSubscriptions[[#This Row],[churned]] = "Yes",1,0)</f>
        <v>0</v>
      </c>
      <c r="S598">
        <f t="shared" si="45"/>
        <v>0</v>
      </c>
      <c r="T598">
        <f t="shared" si="46"/>
        <v>1</v>
      </c>
      <c r="U598">
        <f t="shared" si="47"/>
        <v>0</v>
      </c>
      <c r="V598">
        <f t="shared" si="48"/>
        <v>1</v>
      </c>
      <c r="W598" t="str">
        <f t="shared" si="49"/>
        <v>Medium Risk</v>
      </c>
    </row>
    <row r="599" spans="1:23">
      <c r="A599" t="s">
        <v>932</v>
      </c>
      <c r="B599" t="s">
        <v>33</v>
      </c>
      <c r="C599" t="s">
        <v>19</v>
      </c>
      <c r="D599" t="s">
        <v>46</v>
      </c>
      <c r="E599" t="s">
        <v>50</v>
      </c>
      <c r="F599">
        <v>84</v>
      </c>
      <c r="G599">
        <v>390</v>
      </c>
      <c r="H599" t="s">
        <v>22</v>
      </c>
      <c r="I599" t="s">
        <v>84</v>
      </c>
      <c r="J599" s="1">
        <v>45174</v>
      </c>
      <c r="K599" t="s">
        <v>27</v>
      </c>
      <c r="L599" t="s">
        <v>31</v>
      </c>
      <c r="M599" t="s">
        <v>31</v>
      </c>
      <c r="N599">
        <v>3</v>
      </c>
      <c r="O599">
        <v>4</v>
      </c>
      <c r="P599">
        <v>67</v>
      </c>
      <c r="Q599" t="s">
        <v>27</v>
      </c>
      <c r="R599">
        <f>IF(tblSubscriptions[[#This Row],[churned]] = "Yes",1,0)</f>
        <v>0</v>
      </c>
      <c r="S599">
        <f t="shared" si="45"/>
        <v>0</v>
      </c>
      <c r="T599">
        <f t="shared" si="46"/>
        <v>1</v>
      </c>
      <c r="U599">
        <f t="shared" si="47"/>
        <v>0</v>
      </c>
      <c r="V599">
        <f t="shared" si="48"/>
        <v>1</v>
      </c>
      <c r="W599" t="str">
        <f t="shared" si="49"/>
        <v>Medium Risk</v>
      </c>
    </row>
    <row r="600" spans="1:23">
      <c r="A600" t="s">
        <v>933</v>
      </c>
      <c r="B600" t="s">
        <v>18</v>
      </c>
      <c r="C600" t="s">
        <v>29</v>
      </c>
      <c r="D600" t="s">
        <v>20</v>
      </c>
      <c r="E600" t="s">
        <v>41</v>
      </c>
      <c r="F600">
        <v>18</v>
      </c>
      <c r="G600">
        <v>238</v>
      </c>
      <c r="H600" t="s">
        <v>22</v>
      </c>
      <c r="I600" t="s">
        <v>23</v>
      </c>
      <c r="J600" s="1">
        <v>45107</v>
      </c>
      <c r="K600" t="s">
        <v>27</v>
      </c>
      <c r="L600" t="s">
        <v>31</v>
      </c>
      <c r="M600" t="s">
        <v>31</v>
      </c>
      <c r="N600">
        <v>11</v>
      </c>
      <c r="O600">
        <v>4</v>
      </c>
      <c r="P600">
        <v>50</v>
      </c>
      <c r="Q600" t="s">
        <v>27</v>
      </c>
      <c r="R600">
        <f>IF(tblSubscriptions[[#This Row],[churned]] = "Yes",1,0)</f>
        <v>0</v>
      </c>
      <c r="S600">
        <f t="shared" si="45"/>
        <v>0</v>
      </c>
      <c r="T600">
        <f t="shared" si="46"/>
        <v>1</v>
      </c>
      <c r="U600">
        <f t="shared" si="47"/>
        <v>1</v>
      </c>
      <c r="V600">
        <f t="shared" si="48"/>
        <v>2</v>
      </c>
      <c r="W600" t="str">
        <f t="shared" si="49"/>
        <v>High Risk</v>
      </c>
    </row>
    <row r="601" spans="1:23">
      <c r="A601" t="s">
        <v>934</v>
      </c>
      <c r="B601" t="s">
        <v>33</v>
      </c>
      <c r="C601" t="s">
        <v>19</v>
      </c>
      <c r="D601" t="s">
        <v>56</v>
      </c>
      <c r="E601" t="s">
        <v>35</v>
      </c>
      <c r="F601">
        <v>87</v>
      </c>
      <c r="G601">
        <v>403</v>
      </c>
      <c r="H601" t="s">
        <v>36</v>
      </c>
      <c r="I601" t="s">
        <v>42</v>
      </c>
      <c r="J601" s="1">
        <v>45976</v>
      </c>
      <c r="K601" t="s">
        <v>27</v>
      </c>
      <c r="L601" t="s">
        <v>31</v>
      </c>
      <c r="M601" t="s">
        <v>31</v>
      </c>
      <c r="N601">
        <v>10</v>
      </c>
      <c r="O601">
        <v>10</v>
      </c>
      <c r="P601">
        <v>70</v>
      </c>
      <c r="Q601" t="s">
        <v>27</v>
      </c>
      <c r="R601">
        <f>IF(tblSubscriptions[[#This Row],[churned]] = "Yes",1,0)</f>
        <v>0</v>
      </c>
      <c r="S601">
        <f t="shared" si="45"/>
        <v>0</v>
      </c>
      <c r="T601">
        <f t="shared" si="46"/>
        <v>0</v>
      </c>
      <c r="U601">
        <f t="shared" si="47"/>
        <v>0</v>
      </c>
      <c r="V601">
        <f t="shared" si="48"/>
        <v>0</v>
      </c>
      <c r="W601" t="str">
        <f t="shared" si="49"/>
        <v>Low Risk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604B-C48E-45E9-8314-90C0A35AF913}">
  <dimension ref="A1:L49"/>
  <sheetViews>
    <sheetView topLeftCell="A2" workbookViewId="0">
      <selection activeCell="L3" sqref="L3"/>
    </sheetView>
  </sheetViews>
  <sheetFormatPr defaultRowHeight="14.25"/>
  <cols>
    <col min="1" max="1" width="21.59765625" bestFit="1" customWidth="1"/>
    <col min="2" max="2" width="15.59765625" bestFit="1" customWidth="1"/>
    <col min="3" max="3" width="18.86328125" bestFit="1" customWidth="1"/>
    <col min="4" max="4" width="22.33203125" bestFit="1" customWidth="1"/>
    <col min="5" max="5" width="10.265625" bestFit="1" customWidth="1"/>
    <col min="6" max="6" width="25" bestFit="1" customWidth="1"/>
    <col min="7" max="7" width="24.46484375" bestFit="1" customWidth="1"/>
    <col min="8" max="8" width="9.9296875" bestFit="1" customWidth="1"/>
    <col min="10" max="10" width="15.265625" customWidth="1"/>
    <col min="11" max="11" width="14.86328125" customWidth="1"/>
    <col min="12" max="12" width="19.86328125" customWidth="1"/>
  </cols>
  <sheetData>
    <row r="1" spans="1:12">
      <c r="A1" t="s">
        <v>941</v>
      </c>
      <c r="B1" t="s">
        <v>942</v>
      </c>
      <c r="C1" t="s">
        <v>943</v>
      </c>
      <c r="D1" t="s">
        <v>944</v>
      </c>
      <c r="E1" t="s">
        <v>945</v>
      </c>
      <c r="F1" t="s">
        <v>946</v>
      </c>
      <c r="G1" t="s">
        <v>947</v>
      </c>
      <c r="H1" t="s">
        <v>948</v>
      </c>
      <c r="I1" t="s">
        <v>949</v>
      </c>
      <c r="J1" t="s">
        <v>950</v>
      </c>
      <c r="K1" t="s">
        <v>951</v>
      </c>
      <c r="L1" t="s">
        <v>952</v>
      </c>
    </row>
    <row r="2" spans="1:12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164.92</v>
      </c>
      <c r="H2" s="1">
        <v>44562</v>
      </c>
      <c r="I2">
        <f>(tblMonthlyRevenue[[#This Row],[new_customers]] -tblMonthlyRevenue[[#This Row],[churned_customers]])</f>
        <v>5</v>
      </c>
      <c r="J2">
        <f>tblMonthlyRevenue[[#This Row],[new_customers]]*tblMonthlyRevenue[[#This Row],[avg_revenue_per_customer]]</f>
        <v>0</v>
      </c>
      <c r="K2">
        <f>tblMonthlyRevenue[[#This Row],[churned_customers]]*tblMonthlyRevenue[[#This Row],[avg_revenue_per_customer]]</f>
        <v>0</v>
      </c>
      <c r="L2">
        <f>tblMonthlyRevenue[[#This Row],[Estimated_New_MRR]]-tblMonthlyRevenue[[#This Row],[Estimated_Churned_MRR]]</f>
        <v>0</v>
      </c>
    </row>
    <row r="3" spans="1:12">
      <c r="A3">
        <v>5</v>
      </c>
      <c r="B3">
        <v>10</v>
      </c>
      <c r="C3">
        <v>1</v>
      </c>
      <c r="D3">
        <v>20</v>
      </c>
      <c r="E3">
        <v>7333.07</v>
      </c>
      <c r="F3">
        <v>1466.61</v>
      </c>
      <c r="G3">
        <v>189.21</v>
      </c>
      <c r="H3" s="1">
        <v>44593</v>
      </c>
      <c r="I3">
        <f>(tblMonthlyRevenue[[#This Row],[new_customers]] -tblMonthlyRevenue[[#This Row],[churned_customers]])</f>
        <v>9</v>
      </c>
      <c r="J3">
        <f>tblMonthlyRevenue[[#This Row],[new_customers]]*tblMonthlyRevenue[[#This Row],[avg_revenue_per_customer]]</f>
        <v>14666.099999999999</v>
      </c>
      <c r="K3">
        <f>tblMonthlyRevenue[[#This Row],[churned_customers]]*tblMonthlyRevenue[[#This Row],[avg_revenue_per_customer]]</f>
        <v>1466.61</v>
      </c>
      <c r="L3">
        <f>tblMonthlyRevenue[[#This Row],[Estimated_New_MRR]]-tblMonthlyRevenue[[#This Row],[Estimated_Churned_MRR]]</f>
        <v>13199.489999999998</v>
      </c>
    </row>
    <row r="4" spans="1:12">
      <c r="A4">
        <v>14</v>
      </c>
      <c r="B4">
        <v>13</v>
      </c>
      <c r="C4">
        <v>0</v>
      </c>
      <c r="D4">
        <v>0</v>
      </c>
      <c r="E4">
        <v>12301.16</v>
      </c>
      <c r="F4">
        <v>878.65</v>
      </c>
      <c r="G4">
        <v>139.49</v>
      </c>
      <c r="H4" s="1">
        <v>44621</v>
      </c>
      <c r="I4">
        <f>(tblMonthlyRevenue[[#This Row],[new_customers]] -tblMonthlyRevenue[[#This Row],[churned_customers]])</f>
        <v>13</v>
      </c>
      <c r="J4">
        <f>tblMonthlyRevenue[[#This Row],[new_customers]]*tblMonthlyRevenue[[#This Row],[avg_revenue_per_customer]]</f>
        <v>11422.449999999999</v>
      </c>
      <c r="K4">
        <f>tblMonthlyRevenue[[#This Row],[churned_customers]]*tblMonthlyRevenue[[#This Row],[avg_revenue_per_customer]]</f>
        <v>0</v>
      </c>
      <c r="L4">
        <f>tblMonthlyRevenue[[#This Row],[Estimated_New_MRR]]-tblMonthlyRevenue[[#This Row],[Estimated_Churned_MRR]]</f>
        <v>11422.449999999999</v>
      </c>
    </row>
    <row r="5" spans="1:12">
      <c r="A5">
        <v>28</v>
      </c>
      <c r="B5">
        <v>11</v>
      </c>
      <c r="C5">
        <v>3</v>
      </c>
      <c r="D5">
        <v>10.71</v>
      </c>
      <c r="E5">
        <v>24798.76</v>
      </c>
      <c r="F5">
        <v>885.67</v>
      </c>
      <c r="G5">
        <v>259.08999999999997</v>
      </c>
      <c r="H5" s="1">
        <v>44652</v>
      </c>
      <c r="I5">
        <f>(tblMonthlyRevenue[[#This Row],[new_customers]] -tblMonthlyRevenue[[#This Row],[churned_customers]])</f>
        <v>8</v>
      </c>
      <c r="J5">
        <f>tblMonthlyRevenue[[#This Row],[new_customers]]*tblMonthlyRevenue[[#This Row],[avg_revenue_per_customer]]</f>
        <v>9742.369999999999</v>
      </c>
      <c r="K5">
        <f>tblMonthlyRevenue[[#This Row],[churned_customers]]*tblMonthlyRevenue[[#This Row],[avg_revenue_per_customer]]</f>
        <v>2657.0099999999998</v>
      </c>
      <c r="L5">
        <f>tblMonthlyRevenue[[#This Row],[Estimated_New_MRR]]-tblMonthlyRevenue[[#This Row],[Estimated_Churned_MRR]]</f>
        <v>7085.3599999999988</v>
      </c>
    </row>
    <row r="6" spans="1:12">
      <c r="A6">
        <v>35</v>
      </c>
      <c r="B6">
        <v>11</v>
      </c>
      <c r="C6">
        <v>1</v>
      </c>
      <c r="D6">
        <v>2.86</v>
      </c>
      <c r="E6">
        <v>29091.88</v>
      </c>
      <c r="F6">
        <v>831.2</v>
      </c>
      <c r="G6">
        <v>152.96</v>
      </c>
      <c r="H6" s="1">
        <v>44682</v>
      </c>
      <c r="I6">
        <f>(tblMonthlyRevenue[[#This Row],[new_customers]] -tblMonthlyRevenue[[#This Row],[churned_customers]])</f>
        <v>10</v>
      </c>
      <c r="J6">
        <f>tblMonthlyRevenue[[#This Row],[new_customers]]*tblMonthlyRevenue[[#This Row],[avg_revenue_per_customer]]</f>
        <v>9143.2000000000007</v>
      </c>
      <c r="K6">
        <f>tblMonthlyRevenue[[#This Row],[churned_customers]]*tblMonthlyRevenue[[#This Row],[avg_revenue_per_customer]]</f>
        <v>831.2</v>
      </c>
      <c r="L6">
        <f>tblMonthlyRevenue[[#This Row],[Estimated_New_MRR]]-tblMonthlyRevenue[[#This Row],[Estimated_Churned_MRR]]</f>
        <v>8312</v>
      </c>
    </row>
    <row r="7" spans="1:12">
      <c r="A7">
        <v>46</v>
      </c>
      <c r="B7">
        <v>10</v>
      </c>
      <c r="C7">
        <v>2</v>
      </c>
      <c r="D7">
        <v>4.3499999999999996</v>
      </c>
      <c r="E7">
        <v>38919.93</v>
      </c>
      <c r="F7">
        <v>846.09</v>
      </c>
      <c r="G7">
        <v>248.89</v>
      </c>
      <c r="H7" s="1">
        <v>44713</v>
      </c>
      <c r="I7">
        <f>(tblMonthlyRevenue[[#This Row],[new_customers]] -tblMonthlyRevenue[[#This Row],[churned_customers]])</f>
        <v>8</v>
      </c>
      <c r="J7">
        <f>tblMonthlyRevenue[[#This Row],[new_customers]]*tblMonthlyRevenue[[#This Row],[avg_revenue_per_customer]]</f>
        <v>8460.9</v>
      </c>
      <c r="K7">
        <f>tblMonthlyRevenue[[#This Row],[churned_customers]]*tblMonthlyRevenue[[#This Row],[avg_revenue_per_customer]]</f>
        <v>1692.18</v>
      </c>
      <c r="L7">
        <f>tblMonthlyRevenue[[#This Row],[Estimated_New_MRR]]-tblMonthlyRevenue[[#This Row],[Estimated_Churned_MRR]]</f>
        <v>6768.7199999999993</v>
      </c>
    </row>
    <row r="8" spans="1:12">
      <c r="A8">
        <v>53</v>
      </c>
      <c r="B8">
        <v>8</v>
      </c>
      <c r="C8">
        <v>6</v>
      </c>
      <c r="D8">
        <v>11.32</v>
      </c>
      <c r="E8">
        <v>45097.72</v>
      </c>
      <c r="F8">
        <v>850.9</v>
      </c>
      <c r="G8">
        <v>275.08</v>
      </c>
      <c r="H8" s="1">
        <v>44743</v>
      </c>
      <c r="I8">
        <f>(tblMonthlyRevenue[[#This Row],[new_customers]] -tblMonthlyRevenue[[#This Row],[churned_customers]])</f>
        <v>2</v>
      </c>
      <c r="J8">
        <f>tblMonthlyRevenue[[#This Row],[new_customers]]*tblMonthlyRevenue[[#This Row],[avg_revenue_per_customer]]</f>
        <v>6807.2</v>
      </c>
      <c r="K8">
        <f>tblMonthlyRevenue[[#This Row],[churned_customers]]*tblMonthlyRevenue[[#This Row],[avg_revenue_per_customer]]</f>
        <v>5105.3999999999996</v>
      </c>
      <c r="L8">
        <f>tblMonthlyRevenue[[#This Row],[Estimated_New_MRR]]-tblMonthlyRevenue[[#This Row],[Estimated_Churned_MRR]]</f>
        <v>1701.8000000000002</v>
      </c>
    </row>
    <row r="9" spans="1:12">
      <c r="A9">
        <v>57</v>
      </c>
      <c r="B9">
        <v>18</v>
      </c>
      <c r="C9">
        <v>6</v>
      </c>
      <c r="D9">
        <v>10.53</v>
      </c>
      <c r="E9">
        <v>54140.41</v>
      </c>
      <c r="F9">
        <v>949.83</v>
      </c>
      <c r="G9">
        <v>193.48</v>
      </c>
      <c r="H9" s="1">
        <v>44774</v>
      </c>
      <c r="I9">
        <f>(tblMonthlyRevenue[[#This Row],[new_customers]] -tblMonthlyRevenue[[#This Row],[churned_customers]])</f>
        <v>12</v>
      </c>
      <c r="J9">
        <f>tblMonthlyRevenue[[#This Row],[new_customers]]*tblMonthlyRevenue[[#This Row],[avg_revenue_per_customer]]</f>
        <v>17096.940000000002</v>
      </c>
      <c r="K9">
        <f>tblMonthlyRevenue[[#This Row],[churned_customers]]*tblMonthlyRevenue[[#This Row],[avg_revenue_per_customer]]</f>
        <v>5698.9800000000005</v>
      </c>
      <c r="L9">
        <f>tblMonthlyRevenue[[#This Row],[Estimated_New_MRR]]-tblMonthlyRevenue[[#This Row],[Estimated_Churned_MRR]]</f>
        <v>11397.960000000003</v>
      </c>
    </row>
    <row r="10" spans="1:12">
      <c r="A10">
        <v>67</v>
      </c>
      <c r="B10">
        <v>13</v>
      </c>
      <c r="C10">
        <v>5</v>
      </c>
      <c r="D10">
        <v>7.46</v>
      </c>
      <c r="E10">
        <v>65198</v>
      </c>
      <c r="F10">
        <v>973.1</v>
      </c>
      <c r="G10">
        <v>216</v>
      </c>
      <c r="H10" s="1">
        <v>44805</v>
      </c>
      <c r="I10">
        <f>(tblMonthlyRevenue[[#This Row],[new_customers]] -tblMonthlyRevenue[[#This Row],[churned_customers]])</f>
        <v>8</v>
      </c>
      <c r="J10">
        <f>tblMonthlyRevenue[[#This Row],[new_customers]]*tblMonthlyRevenue[[#This Row],[avg_revenue_per_customer]]</f>
        <v>12650.300000000001</v>
      </c>
      <c r="K10">
        <f>tblMonthlyRevenue[[#This Row],[churned_customers]]*tblMonthlyRevenue[[#This Row],[avg_revenue_per_customer]]</f>
        <v>4865.5</v>
      </c>
      <c r="L10">
        <f>tblMonthlyRevenue[[#This Row],[Estimated_New_MRR]]-tblMonthlyRevenue[[#This Row],[Estimated_Churned_MRR]]</f>
        <v>7784.8000000000011</v>
      </c>
    </row>
    <row r="11" spans="1:12">
      <c r="A11">
        <v>76</v>
      </c>
      <c r="B11">
        <v>16</v>
      </c>
      <c r="C11">
        <v>5</v>
      </c>
      <c r="D11">
        <v>6.58</v>
      </c>
      <c r="E11">
        <v>86824.16</v>
      </c>
      <c r="F11">
        <v>1142.42</v>
      </c>
      <c r="G11">
        <v>246.32</v>
      </c>
      <c r="H11" s="1">
        <v>44835</v>
      </c>
      <c r="I11">
        <f>(tblMonthlyRevenue[[#This Row],[new_customers]] -tblMonthlyRevenue[[#This Row],[churned_customers]])</f>
        <v>11</v>
      </c>
      <c r="J11">
        <f>tblMonthlyRevenue[[#This Row],[new_customers]]*tblMonthlyRevenue[[#This Row],[avg_revenue_per_customer]]</f>
        <v>18278.72</v>
      </c>
      <c r="K11">
        <f>tblMonthlyRevenue[[#This Row],[churned_customers]]*tblMonthlyRevenue[[#This Row],[avg_revenue_per_customer]]</f>
        <v>5712.1</v>
      </c>
      <c r="L11">
        <f>tblMonthlyRevenue[[#This Row],[Estimated_New_MRR]]-tblMonthlyRevenue[[#This Row],[Estimated_Churned_MRR]]</f>
        <v>12566.62</v>
      </c>
    </row>
    <row r="12" spans="1:12">
      <c r="A12">
        <v>87</v>
      </c>
      <c r="B12">
        <v>14</v>
      </c>
      <c r="C12">
        <v>5</v>
      </c>
      <c r="D12">
        <v>5.75</v>
      </c>
      <c r="E12">
        <v>93168.11</v>
      </c>
      <c r="F12">
        <v>1070.9000000000001</v>
      </c>
      <c r="G12">
        <v>130.12</v>
      </c>
      <c r="H12" s="1">
        <v>44866</v>
      </c>
      <c r="I12">
        <f>(tblMonthlyRevenue[[#This Row],[new_customers]] -tblMonthlyRevenue[[#This Row],[churned_customers]])</f>
        <v>9</v>
      </c>
      <c r="J12">
        <f>tblMonthlyRevenue[[#This Row],[new_customers]]*tblMonthlyRevenue[[#This Row],[avg_revenue_per_customer]]</f>
        <v>14992.600000000002</v>
      </c>
      <c r="K12">
        <f>tblMonthlyRevenue[[#This Row],[churned_customers]]*tblMonthlyRevenue[[#This Row],[avg_revenue_per_customer]]</f>
        <v>5354.5</v>
      </c>
      <c r="L12">
        <f>tblMonthlyRevenue[[#This Row],[Estimated_New_MRR]]-tblMonthlyRevenue[[#This Row],[Estimated_Churned_MRR]]</f>
        <v>9638.1000000000022</v>
      </c>
    </row>
    <row r="13" spans="1:12">
      <c r="A13">
        <v>95</v>
      </c>
      <c r="B13">
        <v>14</v>
      </c>
      <c r="C13">
        <v>2</v>
      </c>
      <c r="D13">
        <v>2.11</v>
      </c>
      <c r="E13">
        <v>96100.66</v>
      </c>
      <c r="F13">
        <v>1011.59</v>
      </c>
      <c r="G13">
        <v>160.94</v>
      </c>
      <c r="H13" s="1">
        <v>44896</v>
      </c>
      <c r="I13">
        <f>(tblMonthlyRevenue[[#This Row],[new_customers]] -tblMonthlyRevenue[[#This Row],[churned_customers]])</f>
        <v>12</v>
      </c>
      <c r="J13">
        <f>tblMonthlyRevenue[[#This Row],[new_customers]]*tblMonthlyRevenue[[#This Row],[avg_revenue_per_customer]]</f>
        <v>14162.26</v>
      </c>
      <c r="K13">
        <f>tblMonthlyRevenue[[#This Row],[churned_customers]]*tblMonthlyRevenue[[#This Row],[avg_revenue_per_customer]]</f>
        <v>2023.18</v>
      </c>
      <c r="L13">
        <f>tblMonthlyRevenue[[#This Row],[Estimated_New_MRR]]-tblMonthlyRevenue[[#This Row],[Estimated_Churned_MRR]]</f>
        <v>12139.08</v>
      </c>
    </row>
    <row r="14" spans="1:12">
      <c r="A14">
        <v>107</v>
      </c>
      <c r="B14">
        <v>12</v>
      </c>
      <c r="C14">
        <v>4</v>
      </c>
      <c r="D14">
        <v>3.74</v>
      </c>
      <c r="E14">
        <v>104773.35</v>
      </c>
      <c r="F14">
        <v>979.19</v>
      </c>
      <c r="G14">
        <v>258.64999999999998</v>
      </c>
      <c r="H14" s="1">
        <v>44927</v>
      </c>
      <c r="I14">
        <f>(tblMonthlyRevenue[[#This Row],[new_customers]] -tblMonthlyRevenue[[#This Row],[churned_customers]])</f>
        <v>8</v>
      </c>
      <c r="J14">
        <f>tblMonthlyRevenue[[#This Row],[new_customers]]*tblMonthlyRevenue[[#This Row],[avg_revenue_per_customer]]</f>
        <v>11750.28</v>
      </c>
      <c r="K14">
        <f>tblMonthlyRevenue[[#This Row],[churned_customers]]*tblMonthlyRevenue[[#This Row],[avg_revenue_per_customer]]</f>
        <v>3916.76</v>
      </c>
      <c r="L14">
        <f>tblMonthlyRevenue[[#This Row],[Estimated_New_MRR]]-tblMonthlyRevenue[[#This Row],[Estimated_Churned_MRR]]</f>
        <v>7833.52</v>
      </c>
    </row>
    <row r="15" spans="1:12">
      <c r="A15">
        <v>115</v>
      </c>
      <c r="B15">
        <v>10</v>
      </c>
      <c r="C15">
        <v>3</v>
      </c>
      <c r="D15">
        <v>2.61</v>
      </c>
      <c r="E15">
        <v>115539.13</v>
      </c>
      <c r="F15">
        <v>1004.69</v>
      </c>
      <c r="G15">
        <v>262.48</v>
      </c>
      <c r="H15" s="1">
        <v>44958</v>
      </c>
      <c r="I15">
        <f>(tblMonthlyRevenue[[#This Row],[new_customers]] -tblMonthlyRevenue[[#This Row],[churned_customers]])</f>
        <v>7</v>
      </c>
      <c r="J15">
        <f>tblMonthlyRevenue[[#This Row],[new_customers]]*tblMonthlyRevenue[[#This Row],[avg_revenue_per_customer]]</f>
        <v>10046.900000000001</v>
      </c>
      <c r="K15">
        <f>tblMonthlyRevenue[[#This Row],[churned_customers]]*tblMonthlyRevenue[[#This Row],[avg_revenue_per_customer]]</f>
        <v>3014.07</v>
      </c>
      <c r="L15">
        <f>tblMonthlyRevenue[[#This Row],[Estimated_New_MRR]]-tblMonthlyRevenue[[#This Row],[Estimated_Churned_MRR]]</f>
        <v>7032.8300000000017</v>
      </c>
    </row>
    <row r="16" spans="1:12">
      <c r="A16">
        <v>123</v>
      </c>
      <c r="B16">
        <v>5</v>
      </c>
      <c r="C16">
        <v>2</v>
      </c>
      <c r="D16">
        <v>1.63</v>
      </c>
      <c r="E16">
        <v>125258.61</v>
      </c>
      <c r="F16">
        <v>1018.36</v>
      </c>
      <c r="G16">
        <v>274.97000000000003</v>
      </c>
      <c r="H16" s="1">
        <v>44986</v>
      </c>
      <c r="I16">
        <f>(tblMonthlyRevenue[[#This Row],[new_customers]] -tblMonthlyRevenue[[#This Row],[churned_customers]])</f>
        <v>3</v>
      </c>
      <c r="J16">
        <f>tblMonthlyRevenue[[#This Row],[new_customers]]*tblMonthlyRevenue[[#This Row],[avg_revenue_per_customer]]</f>
        <v>5091.8</v>
      </c>
      <c r="K16">
        <f>tblMonthlyRevenue[[#This Row],[churned_customers]]*tblMonthlyRevenue[[#This Row],[avg_revenue_per_customer]]</f>
        <v>2036.72</v>
      </c>
      <c r="L16">
        <f>tblMonthlyRevenue[[#This Row],[Estimated_New_MRR]]-tblMonthlyRevenue[[#This Row],[Estimated_Churned_MRR]]</f>
        <v>3055.08</v>
      </c>
    </row>
    <row r="17" spans="1:12">
      <c r="A17">
        <v>125</v>
      </c>
      <c r="B17">
        <v>14</v>
      </c>
      <c r="C17">
        <v>8</v>
      </c>
      <c r="D17">
        <v>6.4</v>
      </c>
      <c r="E17">
        <v>129471.28</v>
      </c>
      <c r="F17">
        <v>1035.77</v>
      </c>
      <c r="G17">
        <v>271.47000000000003</v>
      </c>
      <c r="H17" s="1">
        <v>45017</v>
      </c>
      <c r="I17">
        <f>(tblMonthlyRevenue[[#This Row],[new_customers]] -tblMonthlyRevenue[[#This Row],[churned_customers]])</f>
        <v>6</v>
      </c>
      <c r="J17">
        <f>tblMonthlyRevenue[[#This Row],[new_customers]]*tblMonthlyRevenue[[#This Row],[avg_revenue_per_customer]]</f>
        <v>14500.779999999999</v>
      </c>
      <c r="K17">
        <f>tblMonthlyRevenue[[#This Row],[churned_customers]]*tblMonthlyRevenue[[#This Row],[avg_revenue_per_customer]]</f>
        <v>8286.16</v>
      </c>
      <c r="L17">
        <f>tblMonthlyRevenue[[#This Row],[Estimated_New_MRR]]-tblMonthlyRevenue[[#This Row],[Estimated_Churned_MRR]]</f>
        <v>6214.619999999999</v>
      </c>
    </row>
    <row r="18" spans="1:12">
      <c r="A18">
        <v>133</v>
      </c>
      <c r="B18">
        <v>13</v>
      </c>
      <c r="C18">
        <v>4</v>
      </c>
      <c r="D18">
        <v>3.01</v>
      </c>
      <c r="E18">
        <v>142401.69</v>
      </c>
      <c r="F18">
        <v>1070.69</v>
      </c>
      <c r="G18">
        <v>122.99</v>
      </c>
      <c r="H18" s="1">
        <v>45047</v>
      </c>
      <c r="I18">
        <f>(tblMonthlyRevenue[[#This Row],[new_customers]] -tblMonthlyRevenue[[#This Row],[churned_customers]])</f>
        <v>9</v>
      </c>
      <c r="J18">
        <f>tblMonthlyRevenue[[#This Row],[new_customers]]*tblMonthlyRevenue[[#This Row],[avg_revenue_per_customer]]</f>
        <v>13918.970000000001</v>
      </c>
      <c r="K18">
        <f>tblMonthlyRevenue[[#This Row],[churned_customers]]*tblMonthlyRevenue[[#This Row],[avg_revenue_per_customer]]</f>
        <v>4282.76</v>
      </c>
      <c r="L18">
        <f>tblMonthlyRevenue[[#This Row],[Estimated_New_MRR]]-tblMonthlyRevenue[[#This Row],[Estimated_Churned_MRR]]</f>
        <v>9636.2100000000009</v>
      </c>
    </row>
    <row r="19" spans="1:12">
      <c r="A19">
        <v>140</v>
      </c>
      <c r="B19">
        <v>15</v>
      </c>
      <c r="C19">
        <v>10</v>
      </c>
      <c r="D19">
        <v>7.14</v>
      </c>
      <c r="E19">
        <v>142966.32</v>
      </c>
      <c r="F19">
        <v>1021.19</v>
      </c>
      <c r="G19">
        <v>161.5</v>
      </c>
      <c r="H19" s="1">
        <v>45078</v>
      </c>
      <c r="I19">
        <f>(tblMonthlyRevenue[[#This Row],[new_customers]] -tblMonthlyRevenue[[#This Row],[churned_customers]])</f>
        <v>5</v>
      </c>
      <c r="J19">
        <f>tblMonthlyRevenue[[#This Row],[new_customers]]*tblMonthlyRevenue[[#This Row],[avg_revenue_per_customer]]</f>
        <v>15317.85</v>
      </c>
      <c r="K19">
        <f>tblMonthlyRevenue[[#This Row],[churned_customers]]*tblMonthlyRevenue[[#This Row],[avg_revenue_per_customer]]</f>
        <v>10211.900000000001</v>
      </c>
      <c r="L19">
        <f>tblMonthlyRevenue[[#This Row],[Estimated_New_MRR]]-tblMonthlyRevenue[[#This Row],[Estimated_Churned_MRR]]</f>
        <v>5105.9499999999989</v>
      </c>
    </row>
    <row r="20" spans="1:12">
      <c r="A20">
        <v>145</v>
      </c>
      <c r="B20">
        <v>19</v>
      </c>
      <c r="C20">
        <v>7</v>
      </c>
      <c r="D20">
        <v>4.83</v>
      </c>
      <c r="E20">
        <v>147630.35999999999</v>
      </c>
      <c r="F20">
        <v>1018.14</v>
      </c>
      <c r="G20">
        <v>279.58999999999997</v>
      </c>
      <c r="H20" s="1">
        <v>45108</v>
      </c>
      <c r="I20">
        <f>(tblMonthlyRevenue[[#This Row],[new_customers]] -tblMonthlyRevenue[[#This Row],[churned_customers]])</f>
        <v>12</v>
      </c>
      <c r="J20">
        <f>tblMonthlyRevenue[[#This Row],[new_customers]]*tblMonthlyRevenue[[#This Row],[avg_revenue_per_customer]]</f>
        <v>19344.66</v>
      </c>
      <c r="K20">
        <f>tblMonthlyRevenue[[#This Row],[churned_customers]]*tblMonthlyRevenue[[#This Row],[avg_revenue_per_customer]]</f>
        <v>7126.98</v>
      </c>
      <c r="L20">
        <f>tblMonthlyRevenue[[#This Row],[Estimated_New_MRR]]-tblMonthlyRevenue[[#This Row],[Estimated_Churned_MRR]]</f>
        <v>12217.68</v>
      </c>
    </row>
    <row r="21" spans="1:12">
      <c r="A21">
        <v>157</v>
      </c>
      <c r="B21">
        <v>10</v>
      </c>
      <c r="C21">
        <v>7</v>
      </c>
      <c r="D21">
        <v>4.46</v>
      </c>
      <c r="E21">
        <v>158920.70000000001</v>
      </c>
      <c r="F21">
        <v>1012.23</v>
      </c>
      <c r="G21">
        <v>131.26</v>
      </c>
      <c r="H21" s="1">
        <v>45139</v>
      </c>
      <c r="I21">
        <f>(tblMonthlyRevenue[[#This Row],[new_customers]] -tblMonthlyRevenue[[#This Row],[churned_customers]])</f>
        <v>3</v>
      </c>
      <c r="J21">
        <f>tblMonthlyRevenue[[#This Row],[new_customers]]*tblMonthlyRevenue[[#This Row],[avg_revenue_per_customer]]</f>
        <v>10122.299999999999</v>
      </c>
      <c r="K21">
        <f>tblMonthlyRevenue[[#This Row],[churned_customers]]*tblMonthlyRevenue[[#This Row],[avg_revenue_per_customer]]</f>
        <v>7085.6100000000006</v>
      </c>
      <c r="L21">
        <f>tblMonthlyRevenue[[#This Row],[Estimated_New_MRR]]-tblMonthlyRevenue[[#This Row],[Estimated_Churned_MRR]]</f>
        <v>3036.6899999999987</v>
      </c>
    </row>
    <row r="22" spans="1:12">
      <c r="A22">
        <v>160</v>
      </c>
      <c r="B22">
        <v>17</v>
      </c>
      <c r="C22">
        <v>7</v>
      </c>
      <c r="D22">
        <v>4.38</v>
      </c>
      <c r="E22">
        <v>162830.01999999999</v>
      </c>
      <c r="F22">
        <v>1017.69</v>
      </c>
      <c r="G22">
        <v>258.93</v>
      </c>
      <c r="H22" s="1">
        <v>45170</v>
      </c>
      <c r="I22">
        <f>(tblMonthlyRevenue[[#This Row],[new_customers]] -tblMonthlyRevenue[[#This Row],[churned_customers]])</f>
        <v>10</v>
      </c>
      <c r="J22">
        <f>tblMonthlyRevenue[[#This Row],[new_customers]]*tblMonthlyRevenue[[#This Row],[avg_revenue_per_customer]]</f>
        <v>17300.73</v>
      </c>
      <c r="K22">
        <f>tblMonthlyRevenue[[#This Row],[churned_customers]]*tblMonthlyRevenue[[#This Row],[avg_revenue_per_customer]]</f>
        <v>7123.83</v>
      </c>
      <c r="L22">
        <f>tblMonthlyRevenue[[#This Row],[Estimated_New_MRR]]-tblMonthlyRevenue[[#This Row],[Estimated_Churned_MRR]]</f>
        <v>10176.9</v>
      </c>
    </row>
    <row r="23" spans="1:12">
      <c r="A23">
        <v>170</v>
      </c>
      <c r="B23">
        <v>16</v>
      </c>
      <c r="C23">
        <v>5</v>
      </c>
      <c r="D23">
        <v>2.94</v>
      </c>
      <c r="E23">
        <v>170763.72</v>
      </c>
      <c r="F23">
        <v>1004.49</v>
      </c>
      <c r="G23">
        <v>240.01</v>
      </c>
      <c r="H23" s="1">
        <v>45200</v>
      </c>
      <c r="I23">
        <f>(tblMonthlyRevenue[[#This Row],[new_customers]] -tblMonthlyRevenue[[#This Row],[churned_customers]])</f>
        <v>11</v>
      </c>
      <c r="J23">
        <f>tblMonthlyRevenue[[#This Row],[new_customers]]*tblMonthlyRevenue[[#This Row],[avg_revenue_per_customer]]</f>
        <v>16071.84</v>
      </c>
      <c r="K23">
        <f>tblMonthlyRevenue[[#This Row],[churned_customers]]*tblMonthlyRevenue[[#This Row],[avg_revenue_per_customer]]</f>
        <v>5022.45</v>
      </c>
      <c r="L23">
        <f>tblMonthlyRevenue[[#This Row],[Estimated_New_MRR]]-tblMonthlyRevenue[[#This Row],[Estimated_Churned_MRR]]</f>
        <v>11049.39</v>
      </c>
    </row>
    <row r="24" spans="1:12">
      <c r="A24">
        <v>181</v>
      </c>
      <c r="B24">
        <v>11</v>
      </c>
      <c r="C24">
        <v>8</v>
      </c>
      <c r="D24">
        <v>4.42</v>
      </c>
      <c r="E24">
        <v>184058.29</v>
      </c>
      <c r="F24">
        <v>1016.9</v>
      </c>
      <c r="G24">
        <v>178.83</v>
      </c>
      <c r="H24" s="1">
        <v>45231</v>
      </c>
      <c r="I24">
        <f>(tblMonthlyRevenue[[#This Row],[new_customers]] -tblMonthlyRevenue[[#This Row],[churned_customers]])</f>
        <v>3</v>
      </c>
      <c r="J24">
        <f>tblMonthlyRevenue[[#This Row],[new_customers]]*tblMonthlyRevenue[[#This Row],[avg_revenue_per_customer]]</f>
        <v>11185.9</v>
      </c>
      <c r="K24">
        <f>tblMonthlyRevenue[[#This Row],[churned_customers]]*tblMonthlyRevenue[[#This Row],[avg_revenue_per_customer]]</f>
        <v>8135.2</v>
      </c>
      <c r="L24">
        <f>tblMonthlyRevenue[[#This Row],[Estimated_New_MRR]]-tblMonthlyRevenue[[#This Row],[Estimated_Churned_MRR]]</f>
        <v>3050.7</v>
      </c>
    </row>
    <row r="25" spans="1:12">
      <c r="A25">
        <v>183</v>
      </c>
      <c r="B25">
        <v>9</v>
      </c>
      <c r="C25">
        <v>7</v>
      </c>
      <c r="D25">
        <v>3.83</v>
      </c>
      <c r="E25">
        <v>189579.35</v>
      </c>
      <c r="F25">
        <v>1035.95</v>
      </c>
      <c r="G25">
        <v>180.21</v>
      </c>
      <c r="H25" s="1">
        <v>45261</v>
      </c>
      <c r="I25">
        <f>(tblMonthlyRevenue[[#This Row],[new_customers]] -tblMonthlyRevenue[[#This Row],[churned_customers]])</f>
        <v>2</v>
      </c>
      <c r="J25">
        <f>tblMonthlyRevenue[[#This Row],[new_customers]]*tblMonthlyRevenue[[#This Row],[avg_revenue_per_customer]]</f>
        <v>9323.5500000000011</v>
      </c>
      <c r="K25">
        <f>tblMonthlyRevenue[[#This Row],[churned_customers]]*tblMonthlyRevenue[[#This Row],[avg_revenue_per_customer]]</f>
        <v>7251.6500000000005</v>
      </c>
      <c r="L25">
        <f>tblMonthlyRevenue[[#This Row],[Estimated_New_MRR]]-tblMonthlyRevenue[[#This Row],[Estimated_Churned_MRR]]</f>
        <v>2071.9000000000005</v>
      </c>
    </row>
    <row r="26" spans="1:12">
      <c r="A26">
        <v>186</v>
      </c>
      <c r="B26">
        <v>10</v>
      </c>
      <c r="C26">
        <v>7</v>
      </c>
      <c r="D26">
        <v>3.76</v>
      </c>
      <c r="E26">
        <v>191783.54</v>
      </c>
      <c r="F26">
        <v>1031.0899999999999</v>
      </c>
      <c r="G26">
        <v>275.62</v>
      </c>
      <c r="H26" s="1">
        <v>45292</v>
      </c>
      <c r="I26">
        <f>(tblMonthlyRevenue[[#This Row],[new_customers]] -tblMonthlyRevenue[[#This Row],[churned_customers]])</f>
        <v>3</v>
      </c>
      <c r="J26">
        <f>tblMonthlyRevenue[[#This Row],[new_customers]]*tblMonthlyRevenue[[#This Row],[avg_revenue_per_customer]]</f>
        <v>10310.9</v>
      </c>
      <c r="K26">
        <f>tblMonthlyRevenue[[#This Row],[churned_customers]]*tblMonthlyRevenue[[#This Row],[avg_revenue_per_customer]]</f>
        <v>7217.6299999999992</v>
      </c>
      <c r="L26">
        <f>tblMonthlyRevenue[[#This Row],[Estimated_New_MRR]]-tblMonthlyRevenue[[#This Row],[Estimated_Churned_MRR]]</f>
        <v>3093.2700000000004</v>
      </c>
    </row>
    <row r="27" spans="1:12">
      <c r="A27">
        <v>188</v>
      </c>
      <c r="B27">
        <v>7</v>
      </c>
      <c r="C27">
        <v>8</v>
      </c>
      <c r="D27">
        <v>4.26</v>
      </c>
      <c r="E27">
        <v>192379.41</v>
      </c>
      <c r="F27">
        <v>1023.29</v>
      </c>
      <c r="G27">
        <v>142.08000000000001</v>
      </c>
      <c r="H27" s="1">
        <v>45323</v>
      </c>
      <c r="I27">
        <f>(tblMonthlyRevenue[[#This Row],[new_customers]] -tblMonthlyRevenue[[#This Row],[churned_customers]])</f>
        <v>-1</v>
      </c>
      <c r="J27">
        <f>tblMonthlyRevenue[[#This Row],[new_customers]]*tblMonthlyRevenue[[#This Row],[avg_revenue_per_customer]]</f>
        <v>7163.03</v>
      </c>
      <c r="K27">
        <f>tblMonthlyRevenue[[#This Row],[churned_customers]]*tblMonthlyRevenue[[#This Row],[avg_revenue_per_customer]]</f>
        <v>8186.32</v>
      </c>
      <c r="L27">
        <f>tblMonthlyRevenue[[#This Row],[Estimated_New_MRR]]-tblMonthlyRevenue[[#This Row],[Estimated_Churned_MRR]]</f>
        <v>-1023.29</v>
      </c>
    </row>
    <row r="28" spans="1:12">
      <c r="A28">
        <v>189</v>
      </c>
      <c r="B28">
        <v>19</v>
      </c>
      <c r="C28">
        <v>4</v>
      </c>
      <c r="D28">
        <v>2.12</v>
      </c>
      <c r="E28">
        <v>196219.33</v>
      </c>
      <c r="F28">
        <v>1038.2</v>
      </c>
      <c r="G28">
        <v>251.87</v>
      </c>
      <c r="H28" s="1">
        <v>45352</v>
      </c>
      <c r="I28">
        <f>(tblMonthlyRevenue[[#This Row],[new_customers]] -tblMonthlyRevenue[[#This Row],[churned_customers]])</f>
        <v>15</v>
      </c>
      <c r="J28">
        <f>tblMonthlyRevenue[[#This Row],[new_customers]]*tblMonthlyRevenue[[#This Row],[avg_revenue_per_customer]]</f>
        <v>19725.8</v>
      </c>
      <c r="K28">
        <f>tblMonthlyRevenue[[#This Row],[churned_customers]]*tblMonthlyRevenue[[#This Row],[avg_revenue_per_customer]]</f>
        <v>4152.8</v>
      </c>
      <c r="L28">
        <f>tblMonthlyRevenue[[#This Row],[Estimated_New_MRR]]-tblMonthlyRevenue[[#This Row],[Estimated_Churned_MRR]]</f>
        <v>15573</v>
      </c>
    </row>
    <row r="29" spans="1:12">
      <c r="A29">
        <v>203</v>
      </c>
      <c r="B29">
        <v>11</v>
      </c>
      <c r="C29">
        <v>8</v>
      </c>
      <c r="D29">
        <v>3.94</v>
      </c>
      <c r="E29">
        <v>200076.61</v>
      </c>
      <c r="F29">
        <v>985.6</v>
      </c>
      <c r="G29">
        <v>212.11</v>
      </c>
      <c r="H29" s="1">
        <v>45383</v>
      </c>
      <c r="I29">
        <f>(tblMonthlyRevenue[[#This Row],[new_customers]] -tblMonthlyRevenue[[#This Row],[churned_customers]])</f>
        <v>3</v>
      </c>
      <c r="J29">
        <f>tblMonthlyRevenue[[#This Row],[new_customers]]*tblMonthlyRevenue[[#This Row],[avg_revenue_per_customer]]</f>
        <v>10841.6</v>
      </c>
      <c r="K29">
        <f>tblMonthlyRevenue[[#This Row],[churned_customers]]*tblMonthlyRevenue[[#This Row],[avg_revenue_per_customer]]</f>
        <v>7884.8</v>
      </c>
      <c r="L29">
        <f>tblMonthlyRevenue[[#This Row],[Estimated_New_MRR]]-tblMonthlyRevenue[[#This Row],[Estimated_Churned_MRR]]</f>
        <v>2956.8</v>
      </c>
    </row>
    <row r="30" spans="1:12">
      <c r="A30">
        <v>206</v>
      </c>
      <c r="B30">
        <v>14</v>
      </c>
      <c r="C30">
        <v>8</v>
      </c>
      <c r="D30">
        <v>3.88</v>
      </c>
      <c r="E30">
        <v>217117.58</v>
      </c>
      <c r="F30">
        <v>1053.97</v>
      </c>
      <c r="G30">
        <v>139.55000000000001</v>
      </c>
      <c r="H30" s="1">
        <v>45413</v>
      </c>
      <c r="I30">
        <f>(tblMonthlyRevenue[[#This Row],[new_customers]] -tblMonthlyRevenue[[#This Row],[churned_customers]])</f>
        <v>6</v>
      </c>
      <c r="J30">
        <f>tblMonthlyRevenue[[#This Row],[new_customers]]*tblMonthlyRevenue[[#This Row],[avg_revenue_per_customer]]</f>
        <v>14755.58</v>
      </c>
      <c r="K30">
        <f>tblMonthlyRevenue[[#This Row],[churned_customers]]*tblMonthlyRevenue[[#This Row],[avg_revenue_per_customer]]</f>
        <v>8431.76</v>
      </c>
      <c r="L30">
        <f>tblMonthlyRevenue[[#This Row],[Estimated_New_MRR]]-tblMonthlyRevenue[[#This Row],[Estimated_Churned_MRR]]</f>
        <v>6323.82</v>
      </c>
    </row>
    <row r="31" spans="1:12">
      <c r="A31">
        <v>213</v>
      </c>
      <c r="B31">
        <v>13</v>
      </c>
      <c r="C31">
        <v>9</v>
      </c>
      <c r="D31">
        <v>4.2300000000000004</v>
      </c>
      <c r="E31">
        <v>215810.52</v>
      </c>
      <c r="F31">
        <v>1013.19</v>
      </c>
      <c r="G31">
        <v>241.12</v>
      </c>
      <c r="H31" s="1">
        <v>45444</v>
      </c>
      <c r="I31">
        <f>(tblMonthlyRevenue[[#This Row],[new_customers]] -tblMonthlyRevenue[[#This Row],[churned_customers]])</f>
        <v>4</v>
      </c>
      <c r="J31">
        <f>tblMonthlyRevenue[[#This Row],[new_customers]]*tblMonthlyRevenue[[#This Row],[avg_revenue_per_customer]]</f>
        <v>13171.470000000001</v>
      </c>
      <c r="K31">
        <f>tblMonthlyRevenue[[#This Row],[churned_customers]]*tblMonthlyRevenue[[#This Row],[avg_revenue_per_customer]]</f>
        <v>9118.7100000000009</v>
      </c>
      <c r="L31">
        <f>tblMonthlyRevenue[[#This Row],[Estimated_New_MRR]]-tblMonthlyRevenue[[#This Row],[Estimated_Churned_MRR]]</f>
        <v>4052.76</v>
      </c>
    </row>
    <row r="32" spans="1:12">
      <c r="A32">
        <v>216</v>
      </c>
      <c r="B32">
        <v>14</v>
      </c>
      <c r="C32">
        <v>8</v>
      </c>
      <c r="D32">
        <v>3.7</v>
      </c>
      <c r="E32">
        <v>222303.35999999999</v>
      </c>
      <c r="F32">
        <v>1029.18</v>
      </c>
      <c r="G32">
        <v>201.02</v>
      </c>
      <c r="H32" s="1">
        <v>45474</v>
      </c>
      <c r="I32">
        <f>(tblMonthlyRevenue[[#This Row],[new_customers]] -tblMonthlyRevenue[[#This Row],[churned_customers]])</f>
        <v>6</v>
      </c>
      <c r="J32">
        <f>tblMonthlyRevenue[[#This Row],[new_customers]]*tblMonthlyRevenue[[#This Row],[avg_revenue_per_customer]]</f>
        <v>14408.52</v>
      </c>
      <c r="K32">
        <f>tblMonthlyRevenue[[#This Row],[churned_customers]]*tblMonthlyRevenue[[#This Row],[avg_revenue_per_customer]]</f>
        <v>8233.44</v>
      </c>
      <c r="L32">
        <f>tblMonthlyRevenue[[#This Row],[Estimated_New_MRR]]-tblMonthlyRevenue[[#This Row],[Estimated_Churned_MRR]]</f>
        <v>6175.08</v>
      </c>
    </row>
    <row r="33" spans="1:12">
      <c r="A33">
        <v>223</v>
      </c>
      <c r="B33">
        <v>12</v>
      </c>
      <c r="C33">
        <v>7</v>
      </c>
      <c r="D33">
        <v>3.14</v>
      </c>
      <c r="E33">
        <v>242222.62</v>
      </c>
      <c r="F33">
        <v>1086.2</v>
      </c>
      <c r="G33">
        <v>128.12</v>
      </c>
      <c r="H33" s="1">
        <v>45505</v>
      </c>
      <c r="I33">
        <f>(tblMonthlyRevenue[[#This Row],[new_customers]] -tblMonthlyRevenue[[#This Row],[churned_customers]])</f>
        <v>5</v>
      </c>
      <c r="J33">
        <f>tblMonthlyRevenue[[#This Row],[new_customers]]*tblMonthlyRevenue[[#This Row],[avg_revenue_per_customer]]</f>
        <v>13034.400000000001</v>
      </c>
      <c r="K33">
        <f>tblMonthlyRevenue[[#This Row],[churned_customers]]*tblMonthlyRevenue[[#This Row],[avg_revenue_per_customer]]</f>
        <v>7603.4000000000005</v>
      </c>
      <c r="L33">
        <f>tblMonthlyRevenue[[#This Row],[Estimated_New_MRR]]-tblMonthlyRevenue[[#This Row],[Estimated_Churned_MRR]]</f>
        <v>5431.0000000000009</v>
      </c>
    </row>
    <row r="34" spans="1:12">
      <c r="A34">
        <v>226</v>
      </c>
      <c r="B34">
        <v>11</v>
      </c>
      <c r="C34">
        <v>7</v>
      </c>
      <c r="D34">
        <v>3.1</v>
      </c>
      <c r="E34">
        <v>234749.84</v>
      </c>
      <c r="F34">
        <v>1038.72</v>
      </c>
      <c r="G34">
        <v>125.59</v>
      </c>
      <c r="H34" s="1">
        <v>45536</v>
      </c>
      <c r="I34">
        <f>(tblMonthlyRevenue[[#This Row],[new_customers]] -tblMonthlyRevenue[[#This Row],[churned_customers]])</f>
        <v>4</v>
      </c>
      <c r="J34">
        <f>tblMonthlyRevenue[[#This Row],[new_customers]]*tblMonthlyRevenue[[#This Row],[avg_revenue_per_customer]]</f>
        <v>11425.92</v>
      </c>
      <c r="K34">
        <f>tblMonthlyRevenue[[#This Row],[churned_customers]]*tblMonthlyRevenue[[#This Row],[avg_revenue_per_customer]]</f>
        <v>7271.04</v>
      </c>
      <c r="L34">
        <f>tblMonthlyRevenue[[#This Row],[Estimated_New_MRR]]-tblMonthlyRevenue[[#This Row],[Estimated_Churned_MRR]]</f>
        <v>4154.88</v>
      </c>
    </row>
    <row r="35" spans="1:12">
      <c r="A35">
        <v>233</v>
      </c>
      <c r="B35">
        <v>13</v>
      </c>
      <c r="C35">
        <v>7</v>
      </c>
      <c r="D35">
        <v>3</v>
      </c>
      <c r="E35">
        <v>239344.73</v>
      </c>
      <c r="F35">
        <v>1027.23</v>
      </c>
      <c r="G35">
        <v>242.79</v>
      </c>
      <c r="H35" s="1">
        <v>45566</v>
      </c>
      <c r="I35">
        <f>(tblMonthlyRevenue[[#This Row],[new_customers]] -tblMonthlyRevenue[[#This Row],[churned_customers]])</f>
        <v>6</v>
      </c>
      <c r="J35">
        <f>tblMonthlyRevenue[[#This Row],[new_customers]]*tblMonthlyRevenue[[#This Row],[avg_revenue_per_customer]]</f>
        <v>13353.99</v>
      </c>
      <c r="K35">
        <f>tblMonthlyRevenue[[#This Row],[churned_customers]]*tblMonthlyRevenue[[#This Row],[avg_revenue_per_customer]]</f>
        <v>7190.6100000000006</v>
      </c>
      <c r="L35">
        <f>tblMonthlyRevenue[[#This Row],[Estimated_New_MRR]]-tblMonthlyRevenue[[#This Row],[Estimated_Churned_MRR]]</f>
        <v>6163.3799999999992</v>
      </c>
    </row>
    <row r="36" spans="1:12">
      <c r="A36">
        <v>238</v>
      </c>
      <c r="B36">
        <v>12</v>
      </c>
      <c r="C36">
        <v>9</v>
      </c>
      <c r="D36">
        <v>3.78</v>
      </c>
      <c r="E36">
        <v>253489.47</v>
      </c>
      <c r="F36">
        <v>1065.08</v>
      </c>
      <c r="G36">
        <v>234.58</v>
      </c>
      <c r="H36" s="1">
        <v>45597</v>
      </c>
      <c r="I36">
        <f>(tblMonthlyRevenue[[#This Row],[new_customers]] -tblMonthlyRevenue[[#This Row],[churned_customers]])</f>
        <v>3</v>
      </c>
      <c r="J36">
        <f>tblMonthlyRevenue[[#This Row],[new_customers]]*tblMonthlyRevenue[[#This Row],[avg_revenue_per_customer]]</f>
        <v>12780.96</v>
      </c>
      <c r="K36">
        <f>tblMonthlyRevenue[[#This Row],[churned_customers]]*tblMonthlyRevenue[[#This Row],[avg_revenue_per_customer]]</f>
        <v>9585.7199999999993</v>
      </c>
      <c r="L36">
        <f>tblMonthlyRevenue[[#This Row],[Estimated_New_MRR]]-tblMonthlyRevenue[[#This Row],[Estimated_Churned_MRR]]</f>
        <v>3195.24</v>
      </c>
    </row>
    <row r="37" spans="1:12">
      <c r="A37">
        <v>240</v>
      </c>
      <c r="B37">
        <v>15</v>
      </c>
      <c r="C37">
        <v>9</v>
      </c>
      <c r="D37">
        <v>3.75</v>
      </c>
      <c r="E37">
        <v>260856.24</v>
      </c>
      <c r="F37">
        <v>1086.9000000000001</v>
      </c>
      <c r="G37">
        <v>238.17</v>
      </c>
      <c r="H37" s="1">
        <v>45627</v>
      </c>
      <c r="I37">
        <f>(tblMonthlyRevenue[[#This Row],[new_customers]] -tblMonthlyRevenue[[#This Row],[churned_customers]])</f>
        <v>6</v>
      </c>
      <c r="J37">
        <f>tblMonthlyRevenue[[#This Row],[new_customers]]*tblMonthlyRevenue[[#This Row],[avg_revenue_per_customer]]</f>
        <v>16303.500000000002</v>
      </c>
      <c r="K37">
        <f>tblMonthlyRevenue[[#This Row],[churned_customers]]*tblMonthlyRevenue[[#This Row],[avg_revenue_per_customer]]</f>
        <v>9782.1</v>
      </c>
      <c r="L37">
        <f>tblMonthlyRevenue[[#This Row],[Estimated_New_MRR]]-tblMonthlyRevenue[[#This Row],[Estimated_Churned_MRR]]</f>
        <v>6521.4000000000015</v>
      </c>
    </row>
    <row r="38" spans="1:12">
      <c r="A38">
        <v>247</v>
      </c>
      <c r="B38">
        <v>13</v>
      </c>
      <c r="C38">
        <v>9</v>
      </c>
      <c r="D38">
        <v>3.64</v>
      </c>
      <c r="E38">
        <v>266142.93</v>
      </c>
      <c r="F38">
        <v>1077.5</v>
      </c>
      <c r="G38">
        <v>218.41</v>
      </c>
      <c r="H38" s="1">
        <v>45658</v>
      </c>
      <c r="I38">
        <f>(tblMonthlyRevenue[[#This Row],[new_customers]] -tblMonthlyRevenue[[#This Row],[churned_customers]])</f>
        <v>4</v>
      </c>
      <c r="J38">
        <f>tblMonthlyRevenue[[#This Row],[new_customers]]*tblMonthlyRevenue[[#This Row],[avg_revenue_per_customer]]</f>
        <v>14007.5</v>
      </c>
      <c r="K38">
        <f>tblMonthlyRevenue[[#This Row],[churned_customers]]*tblMonthlyRevenue[[#This Row],[avg_revenue_per_customer]]</f>
        <v>9697.5</v>
      </c>
      <c r="L38">
        <f>tblMonthlyRevenue[[#This Row],[Estimated_New_MRR]]-tblMonthlyRevenue[[#This Row],[Estimated_Churned_MRR]]</f>
        <v>4310</v>
      </c>
    </row>
    <row r="39" spans="1:12">
      <c r="A39">
        <v>251</v>
      </c>
      <c r="B39">
        <v>15</v>
      </c>
      <c r="C39">
        <v>8</v>
      </c>
      <c r="D39">
        <v>3.19</v>
      </c>
      <c r="E39">
        <v>274162.53999999998</v>
      </c>
      <c r="F39">
        <v>1092.28</v>
      </c>
      <c r="G39">
        <v>164.96</v>
      </c>
      <c r="H39" s="1">
        <v>45689</v>
      </c>
      <c r="I39">
        <f>(tblMonthlyRevenue[[#This Row],[new_customers]] -tblMonthlyRevenue[[#This Row],[churned_customers]])</f>
        <v>7</v>
      </c>
      <c r="J39">
        <f>tblMonthlyRevenue[[#This Row],[new_customers]]*tblMonthlyRevenue[[#This Row],[avg_revenue_per_customer]]</f>
        <v>16384.2</v>
      </c>
      <c r="K39">
        <f>tblMonthlyRevenue[[#This Row],[churned_customers]]*tblMonthlyRevenue[[#This Row],[avg_revenue_per_customer]]</f>
        <v>8738.24</v>
      </c>
      <c r="L39">
        <f>tblMonthlyRevenue[[#This Row],[Estimated_New_MRR]]-tblMonthlyRevenue[[#This Row],[Estimated_Churned_MRR]]</f>
        <v>7645.9600000000009</v>
      </c>
    </row>
    <row r="40" spans="1:12">
      <c r="A40">
        <v>257</v>
      </c>
      <c r="B40">
        <v>18</v>
      </c>
      <c r="C40">
        <v>7</v>
      </c>
      <c r="D40">
        <v>2.72</v>
      </c>
      <c r="E40">
        <v>280928.08</v>
      </c>
      <c r="F40">
        <v>1093.1099999999999</v>
      </c>
      <c r="G40">
        <v>138.82</v>
      </c>
      <c r="H40" s="1">
        <v>45717</v>
      </c>
      <c r="I40">
        <f>(tblMonthlyRevenue[[#This Row],[new_customers]] -tblMonthlyRevenue[[#This Row],[churned_customers]])</f>
        <v>11</v>
      </c>
      <c r="J40">
        <f>tblMonthlyRevenue[[#This Row],[new_customers]]*tblMonthlyRevenue[[#This Row],[avg_revenue_per_customer]]</f>
        <v>19675.98</v>
      </c>
      <c r="K40">
        <f>tblMonthlyRevenue[[#This Row],[churned_customers]]*tblMonthlyRevenue[[#This Row],[avg_revenue_per_customer]]</f>
        <v>7651.7699999999995</v>
      </c>
      <c r="L40">
        <f>tblMonthlyRevenue[[#This Row],[Estimated_New_MRR]]-tblMonthlyRevenue[[#This Row],[Estimated_Churned_MRR]]</f>
        <v>12024.21</v>
      </c>
    </row>
    <row r="41" spans="1:12">
      <c r="A41">
        <v>270</v>
      </c>
      <c r="B41">
        <v>13</v>
      </c>
      <c r="C41">
        <v>17</v>
      </c>
      <c r="D41">
        <v>6.3</v>
      </c>
      <c r="E41">
        <v>287791.15000000002</v>
      </c>
      <c r="F41">
        <v>1065.8900000000001</v>
      </c>
      <c r="G41">
        <v>144.11000000000001</v>
      </c>
      <c r="H41" s="1">
        <v>45748</v>
      </c>
      <c r="I41">
        <f>(tblMonthlyRevenue[[#This Row],[new_customers]] -tblMonthlyRevenue[[#This Row],[churned_customers]])</f>
        <v>-4</v>
      </c>
      <c r="J41">
        <f>tblMonthlyRevenue[[#This Row],[new_customers]]*tblMonthlyRevenue[[#This Row],[avg_revenue_per_customer]]</f>
        <v>13856.570000000002</v>
      </c>
      <c r="K41">
        <f>tblMonthlyRevenue[[#This Row],[churned_customers]]*tblMonthlyRevenue[[#This Row],[avg_revenue_per_customer]]</f>
        <v>18120.13</v>
      </c>
      <c r="L41">
        <f>tblMonthlyRevenue[[#This Row],[Estimated_New_MRR]]-tblMonthlyRevenue[[#This Row],[Estimated_Churned_MRR]]</f>
        <v>-4263.5599999999995</v>
      </c>
    </row>
    <row r="42" spans="1:12">
      <c r="A42">
        <v>264</v>
      </c>
      <c r="B42">
        <v>12</v>
      </c>
      <c r="C42">
        <v>15</v>
      </c>
      <c r="D42">
        <v>5.68</v>
      </c>
      <c r="E42">
        <v>287207.82</v>
      </c>
      <c r="F42">
        <v>1087.9100000000001</v>
      </c>
      <c r="G42">
        <v>149.54</v>
      </c>
      <c r="H42" s="1">
        <v>45778</v>
      </c>
      <c r="I42">
        <f>(tblMonthlyRevenue[[#This Row],[new_customers]] -tblMonthlyRevenue[[#This Row],[churned_customers]])</f>
        <v>-3</v>
      </c>
      <c r="J42">
        <f>tblMonthlyRevenue[[#This Row],[new_customers]]*tblMonthlyRevenue[[#This Row],[avg_revenue_per_customer]]</f>
        <v>13054.920000000002</v>
      </c>
      <c r="K42">
        <f>tblMonthlyRevenue[[#This Row],[churned_customers]]*tblMonthlyRevenue[[#This Row],[avg_revenue_per_customer]]</f>
        <v>16318.650000000001</v>
      </c>
      <c r="L42">
        <f>tblMonthlyRevenue[[#This Row],[Estimated_New_MRR]]-tblMonthlyRevenue[[#This Row],[Estimated_Churned_MRR]]</f>
        <v>-3263.7299999999996</v>
      </c>
    </row>
    <row r="43" spans="1:12">
      <c r="A43">
        <v>261</v>
      </c>
      <c r="B43">
        <v>15</v>
      </c>
      <c r="C43">
        <v>11</v>
      </c>
      <c r="D43">
        <v>4.21</v>
      </c>
      <c r="E43">
        <v>280683.13</v>
      </c>
      <c r="F43">
        <v>1075.4100000000001</v>
      </c>
      <c r="G43">
        <v>238.11</v>
      </c>
      <c r="H43" s="1">
        <v>45809</v>
      </c>
      <c r="I43">
        <f>(tblMonthlyRevenue[[#This Row],[new_customers]] -tblMonthlyRevenue[[#This Row],[churned_customers]])</f>
        <v>4</v>
      </c>
      <c r="J43">
        <f>tblMonthlyRevenue[[#This Row],[new_customers]]*tblMonthlyRevenue[[#This Row],[avg_revenue_per_customer]]</f>
        <v>16131.150000000001</v>
      </c>
      <c r="K43">
        <f>tblMonthlyRevenue[[#This Row],[churned_customers]]*tblMonthlyRevenue[[#This Row],[avg_revenue_per_customer]]</f>
        <v>11829.51</v>
      </c>
      <c r="L43">
        <f>tblMonthlyRevenue[[#This Row],[Estimated_New_MRR]]-tblMonthlyRevenue[[#This Row],[Estimated_Churned_MRR]]</f>
        <v>4301.6400000000012</v>
      </c>
    </row>
    <row r="44" spans="1:12">
      <c r="A44">
        <v>265</v>
      </c>
      <c r="B44">
        <v>9</v>
      </c>
      <c r="C44">
        <v>9</v>
      </c>
      <c r="D44">
        <v>3.4</v>
      </c>
      <c r="E44">
        <v>287661.73</v>
      </c>
      <c r="F44">
        <v>1085.52</v>
      </c>
      <c r="G44">
        <v>150.51</v>
      </c>
      <c r="H44" s="1">
        <v>45839</v>
      </c>
      <c r="I44">
        <f>(tblMonthlyRevenue[[#This Row],[new_customers]] -tblMonthlyRevenue[[#This Row],[churned_customers]])</f>
        <v>0</v>
      </c>
      <c r="J44">
        <f>tblMonthlyRevenue[[#This Row],[new_customers]]*tblMonthlyRevenue[[#This Row],[avg_revenue_per_customer]]</f>
        <v>9769.68</v>
      </c>
      <c r="K44">
        <f>tblMonthlyRevenue[[#This Row],[churned_customers]]*tblMonthlyRevenue[[#This Row],[avg_revenue_per_customer]]</f>
        <v>9769.68</v>
      </c>
      <c r="L44">
        <f>tblMonthlyRevenue[[#This Row],[Estimated_New_MRR]]-tblMonthlyRevenue[[#This Row],[Estimated_Churned_MRR]]</f>
        <v>0</v>
      </c>
    </row>
    <row r="45" spans="1:12">
      <c r="A45">
        <v>265</v>
      </c>
      <c r="B45">
        <v>7</v>
      </c>
      <c r="C45">
        <v>7</v>
      </c>
      <c r="D45">
        <v>2.64</v>
      </c>
      <c r="E45">
        <v>287743</v>
      </c>
      <c r="F45">
        <v>1085.82</v>
      </c>
      <c r="G45">
        <v>129.38</v>
      </c>
      <c r="H45" s="1">
        <v>45870</v>
      </c>
      <c r="I45">
        <f>(tblMonthlyRevenue[[#This Row],[new_customers]] -tblMonthlyRevenue[[#This Row],[churned_customers]])</f>
        <v>0</v>
      </c>
      <c r="J45">
        <f>tblMonthlyRevenue[[#This Row],[new_customers]]*tblMonthlyRevenue[[#This Row],[avg_revenue_per_customer]]</f>
        <v>7600.74</v>
      </c>
      <c r="K45">
        <f>tblMonthlyRevenue[[#This Row],[churned_customers]]*tblMonthlyRevenue[[#This Row],[avg_revenue_per_customer]]</f>
        <v>7600.74</v>
      </c>
      <c r="L45">
        <f>tblMonthlyRevenue[[#This Row],[Estimated_New_MRR]]-tblMonthlyRevenue[[#This Row],[Estimated_Churned_MRR]]</f>
        <v>0</v>
      </c>
    </row>
    <row r="46" spans="1:12">
      <c r="A46">
        <v>265</v>
      </c>
      <c r="B46">
        <v>13</v>
      </c>
      <c r="C46">
        <v>9</v>
      </c>
      <c r="D46">
        <v>3.4</v>
      </c>
      <c r="E46">
        <v>290824.44</v>
      </c>
      <c r="F46">
        <v>1097.45</v>
      </c>
      <c r="G46">
        <v>182.15</v>
      </c>
      <c r="H46" s="1">
        <v>45901</v>
      </c>
      <c r="I46">
        <f>(tblMonthlyRevenue[[#This Row],[new_customers]] -tblMonthlyRevenue[[#This Row],[churned_customers]])</f>
        <v>4</v>
      </c>
      <c r="J46">
        <f>tblMonthlyRevenue[[#This Row],[new_customers]]*tblMonthlyRevenue[[#This Row],[avg_revenue_per_customer]]</f>
        <v>14266.85</v>
      </c>
      <c r="K46">
        <f>tblMonthlyRevenue[[#This Row],[churned_customers]]*tblMonthlyRevenue[[#This Row],[avg_revenue_per_customer]]</f>
        <v>9877.0500000000011</v>
      </c>
      <c r="L46">
        <f>tblMonthlyRevenue[[#This Row],[Estimated_New_MRR]]-tblMonthlyRevenue[[#This Row],[Estimated_Churned_MRR]]</f>
        <v>4389.7999999999993</v>
      </c>
    </row>
    <row r="47" spans="1:12">
      <c r="A47">
        <v>269</v>
      </c>
      <c r="B47">
        <v>18</v>
      </c>
      <c r="C47">
        <v>9</v>
      </c>
      <c r="D47">
        <v>3.35</v>
      </c>
      <c r="E47">
        <v>280089.15000000002</v>
      </c>
      <c r="F47">
        <v>1041.22</v>
      </c>
      <c r="G47">
        <v>250.08</v>
      </c>
      <c r="H47" s="1">
        <v>45931</v>
      </c>
      <c r="I47">
        <f>(tblMonthlyRevenue[[#This Row],[new_customers]] -tblMonthlyRevenue[[#This Row],[churned_customers]])</f>
        <v>9</v>
      </c>
      <c r="J47">
        <f>tblMonthlyRevenue[[#This Row],[new_customers]]*tblMonthlyRevenue[[#This Row],[avg_revenue_per_customer]]</f>
        <v>18741.96</v>
      </c>
      <c r="K47">
        <f>tblMonthlyRevenue[[#This Row],[churned_customers]]*tblMonthlyRevenue[[#This Row],[avg_revenue_per_customer]]</f>
        <v>9370.98</v>
      </c>
      <c r="L47">
        <f>tblMonthlyRevenue[[#This Row],[Estimated_New_MRR]]-tblMonthlyRevenue[[#This Row],[Estimated_Churned_MRR]]</f>
        <v>9370.98</v>
      </c>
    </row>
    <row r="48" spans="1:12">
      <c r="A48">
        <v>278</v>
      </c>
      <c r="B48">
        <v>11</v>
      </c>
      <c r="C48">
        <v>9</v>
      </c>
      <c r="D48">
        <v>3.24</v>
      </c>
      <c r="E48">
        <v>285261.36</v>
      </c>
      <c r="F48">
        <v>1026.1199999999999</v>
      </c>
      <c r="G48">
        <v>254.4</v>
      </c>
      <c r="H48" s="1">
        <v>45962</v>
      </c>
      <c r="I48">
        <f>(tblMonthlyRevenue[[#This Row],[new_customers]] -tblMonthlyRevenue[[#This Row],[churned_customers]])</f>
        <v>2</v>
      </c>
      <c r="J48">
        <f>tblMonthlyRevenue[[#This Row],[new_customers]]*tblMonthlyRevenue[[#This Row],[avg_revenue_per_customer]]</f>
        <v>11287.32</v>
      </c>
      <c r="K48">
        <f>tblMonthlyRevenue[[#This Row],[churned_customers]]*tblMonthlyRevenue[[#This Row],[avg_revenue_per_customer]]</f>
        <v>9235.0799999999981</v>
      </c>
      <c r="L48">
        <f>tblMonthlyRevenue[[#This Row],[Estimated_New_MRR]]-tblMonthlyRevenue[[#This Row],[Estimated_Churned_MRR]]</f>
        <v>2052.2400000000016</v>
      </c>
    </row>
    <row r="49" spans="1:12">
      <c r="A49">
        <v>281</v>
      </c>
      <c r="B49">
        <v>11</v>
      </c>
      <c r="C49">
        <v>4</v>
      </c>
      <c r="D49">
        <v>1.42</v>
      </c>
      <c r="E49">
        <v>292628.61</v>
      </c>
      <c r="F49">
        <v>1041.3800000000001</v>
      </c>
      <c r="G49">
        <v>151.47</v>
      </c>
      <c r="H49" s="1">
        <v>45992</v>
      </c>
      <c r="I49">
        <f>(tblMonthlyRevenue[[#This Row],[new_customers]] -tblMonthlyRevenue[[#This Row],[churned_customers]])</f>
        <v>7</v>
      </c>
      <c r="J49">
        <f>tblMonthlyRevenue[[#This Row],[new_customers]]*tblMonthlyRevenue[[#This Row],[avg_revenue_per_customer]]</f>
        <v>11455.18</v>
      </c>
      <c r="K49">
        <f>tblMonthlyRevenue[[#This Row],[churned_customers]]*tblMonthlyRevenue[[#This Row],[avg_revenue_per_customer]]</f>
        <v>4165.5200000000004</v>
      </c>
      <c r="L49">
        <f>tblMonthlyRevenue[[#This Row],[Estimated_New_MRR]]-tblMonthlyRevenue[[#This Row],[Estimated_Churned_MRR]]</f>
        <v>7289.66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92FF-E5AC-45A6-9A3F-A5428BB3E9CE}">
  <dimension ref="A1:Q74"/>
  <sheetViews>
    <sheetView tabSelected="1" zoomScale="34" zoomScaleNormal="49" workbookViewId="0">
      <selection activeCell="J78" sqref="J78"/>
    </sheetView>
  </sheetViews>
  <sheetFormatPr defaultRowHeight="14.25"/>
  <cols>
    <col min="1" max="1" width="14.73046875" bestFit="1" customWidth="1"/>
    <col min="2" max="2" width="10.73046875" bestFit="1" customWidth="1"/>
    <col min="3" max="3" width="20.59765625" bestFit="1" customWidth="1"/>
    <col min="4" max="4" width="14.73046875" bestFit="1" customWidth="1"/>
    <col min="5" max="6" width="14.06640625" bestFit="1" customWidth="1"/>
    <col min="7" max="7" width="14.73046875" bestFit="1" customWidth="1"/>
    <col min="8" max="8" width="19.6640625" bestFit="1" customWidth="1"/>
    <col min="9" max="9" width="20.73046875" bestFit="1" customWidth="1"/>
    <col min="12" max="12" width="21.06640625" customWidth="1"/>
    <col min="16" max="16" width="14.06640625" bestFit="1" customWidth="1"/>
    <col min="17" max="17" width="26.1328125" bestFit="1" customWidth="1"/>
  </cols>
  <sheetData>
    <row r="1" spans="1:17">
      <c r="A1" s="4" t="s">
        <v>953</v>
      </c>
      <c r="B1" t="s">
        <v>956</v>
      </c>
      <c r="D1" s="4" t="s">
        <v>953</v>
      </c>
      <c r="E1" t="s">
        <v>955</v>
      </c>
      <c r="G1" s="4" t="s">
        <v>953</v>
      </c>
      <c r="H1" t="s">
        <v>955</v>
      </c>
    </row>
    <row r="2" spans="1:17">
      <c r="A2" s="5" t="s">
        <v>33</v>
      </c>
      <c r="B2" s="7">
        <v>0.70506912442396308</v>
      </c>
      <c r="D2" s="5" t="s">
        <v>19</v>
      </c>
      <c r="E2" s="7">
        <v>0.60511363636363635</v>
      </c>
      <c r="G2" s="5" t="s">
        <v>35</v>
      </c>
      <c r="H2" s="7">
        <v>0.63157894736842102</v>
      </c>
      <c r="J2" s="6" t="s">
        <v>953</v>
      </c>
      <c r="K2" s="6" t="s">
        <v>960</v>
      </c>
      <c r="L2" s="6" t="s">
        <v>961</v>
      </c>
    </row>
    <row r="3" spans="1:17">
      <c r="A3" s="5" t="s">
        <v>18</v>
      </c>
      <c r="B3" s="7">
        <v>0.47976878612716761</v>
      </c>
      <c r="D3" s="5" t="s">
        <v>29</v>
      </c>
      <c r="E3" s="7">
        <v>0.40322580645161288</v>
      </c>
      <c r="G3" s="5" t="s">
        <v>47</v>
      </c>
      <c r="H3" s="7">
        <v>0.56687898089171973</v>
      </c>
      <c r="J3" s="5" t="s">
        <v>957</v>
      </c>
      <c r="K3">
        <v>93</v>
      </c>
      <c r="L3" s="2">
        <v>82239</v>
      </c>
    </row>
    <row r="4" spans="1:17">
      <c r="A4" s="5" t="s">
        <v>39</v>
      </c>
      <c r="B4" s="7">
        <v>0.41249999999999998</v>
      </c>
      <c r="D4" s="5" t="s">
        <v>954</v>
      </c>
      <c r="E4" s="7">
        <v>0.52166666666666661</v>
      </c>
      <c r="G4" s="5" t="s">
        <v>50</v>
      </c>
      <c r="H4" s="7">
        <v>0.53409090909090906</v>
      </c>
      <c r="J4" s="5" t="s">
        <v>959</v>
      </c>
      <c r="K4">
        <v>62</v>
      </c>
      <c r="L4" s="2">
        <v>82117</v>
      </c>
    </row>
    <row r="5" spans="1:17">
      <c r="A5" s="5" t="s">
        <v>87</v>
      </c>
      <c r="B5" s="7">
        <v>0.22</v>
      </c>
      <c r="G5" s="5" t="s">
        <v>41</v>
      </c>
      <c r="H5" s="7">
        <v>0.52840909090909094</v>
      </c>
      <c r="J5" s="5" t="s">
        <v>958</v>
      </c>
      <c r="K5">
        <v>132</v>
      </c>
      <c r="L5" s="2">
        <v>131063</v>
      </c>
    </row>
    <row r="6" spans="1:17">
      <c r="A6" s="5" t="s">
        <v>954</v>
      </c>
      <c r="B6" s="7">
        <v>0.52166666666666661</v>
      </c>
      <c r="G6" s="5" t="s">
        <v>21</v>
      </c>
      <c r="H6" s="7">
        <v>0.42553191489361702</v>
      </c>
      <c r="J6" s="8" t="s">
        <v>954</v>
      </c>
      <c r="K6" s="9">
        <v>287</v>
      </c>
      <c r="L6" s="10">
        <v>295419</v>
      </c>
    </row>
    <row r="7" spans="1:17">
      <c r="G7" s="5" t="s">
        <v>954</v>
      </c>
      <c r="H7" s="7">
        <v>0.52166666666666661</v>
      </c>
      <c r="P7" s="4" t="s">
        <v>953</v>
      </c>
      <c r="Q7" t="s">
        <v>970</v>
      </c>
    </row>
    <row r="8" spans="1:17">
      <c r="P8" s="11">
        <v>44562</v>
      </c>
      <c r="Q8">
        <v>0</v>
      </c>
    </row>
    <row r="9" spans="1:17">
      <c r="P9" s="11">
        <v>44593</v>
      </c>
      <c r="Q9">
        <v>20</v>
      </c>
    </row>
    <row r="10" spans="1:17">
      <c r="D10" s="4" t="s">
        <v>10</v>
      </c>
      <c r="E10" t="s">
        <v>24</v>
      </c>
      <c r="G10" s="4" t="s">
        <v>10</v>
      </c>
      <c r="H10" t="s">
        <v>27</v>
      </c>
      <c r="P10" s="11">
        <v>44621</v>
      </c>
      <c r="Q10">
        <v>0</v>
      </c>
    </row>
    <row r="11" spans="1:17">
      <c r="P11" s="11">
        <v>44652</v>
      </c>
      <c r="Q11">
        <v>10.71</v>
      </c>
    </row>
    <row r="12" spans="1:17">
      <c r="A12" s="4" t="s">
        <v>953</v>
      </c>
      <c r="B12" t="s">
        <v>955</v>
      </c>
      <c r="D12" s="4" t="s">
        <v>953</v>
      </c>
      <c r="E12" t="s">
        <v>960</v>
      </c>
      <c r="G12" s="4" t="s">
        <v>953</v>
      </c>
      <c r="H12" t="s">
        <v>960</v>
      </c>
      <c r="P12" s="11">
        <v>44682</v>
      </c>
      <c r="Q12">
        <v>2.86</v>
      </c>
    </row>
    <row r="13" spans="1:17">
      <c r="A13" s="5" t="s">
        <v>48</v>
      </c>
      <c r="B13" s="7">
        <v>0.61290322580645162</v>
      </c>
      <c r="D13" s="5" t="s">
        <v>62</v>
      </c>
      <c r="E13">
        <v>53</v>
      </c>
      <c r="G13" s="5" t="s">
        <v>957</v>
      </c>
      <c r="H13">
        <v>93</v>
      </c>
      <c r="P13" s="11">
        <v>44713</v>
      </c>
      <c r="Q13">
        <v>4.3499999999999996</v>
      </c>
    </row>
    <row r="14" spans="1:17">
      <c r="A14" s="5" t="s">
        <v>36</v>
      </c>
      <c r="B14" s="7">
        <v>0.57999999999999996</v>
      </c>
      <c r="D14" s="5" t="s">
        <v>66</v>
      </c>
      <c r="E14">
        <v>48</v>
      </c>
      <c r="G14" s="5" t="s">
        <v>959</v>
      </c>
      <c r="H14">
        <v>62</v>
      </c>
      <c r="P14" s="11">
        <v>44743</v>
      </c>
      <c r="Q14">
        <v>11.32</v>
      </c>
    </row>
    <row r="15" spans="1:17">
      <c r="A15" s="5" t="s">
        <v>124</v>
      </c>
      <c r="B15" s="7">
        <v>0.55769230769230771</v>
      </c>
      <c r="D15" s="5" t="s">
        <v>102</v>
      </c>
      <c r="E15">
        <v>40</v>
      </c>
      <c r="G15" s="5" t="s">
        <v>958</v>
      </c>
      <c r="H15">
        <v>132</v>
      </c>
      <c r="P15" s="11">
        <v>44774</v>
      </c>
      <c r="Q15">
        <v>10.53</v>
      </c>
    </row>
    <row r="16" spans="1:17">
      <c r="A16" s="5" t="s">
        <v>70</v>
      </c>
      <c r="B16" s="7">
        <v>0.5304347826086957</v>
      </c>
      <c r="D16" s="5" t="s">
        <v>75</v>
      </c>
      <c r="E16">
        <v>41</v>
      </c>
      <c r="G16" s="5" t="s">
        <v>954</v>
      </c>
      <c r="H16">
        <v>287</v>
      </c>
      <c r="P16" s="11">
        <v>44805</v>
      </c>
      <c r="Q16">
        <v>7.46</v>
      </c>
    </row>
    <row r="17" spans="1:17">
      <c r="A17" s="5" t="s">
        <v>22</v>
      </c>
      <c r="B17" s="7">
        <v>0.43790849673202614</v>
      </c>
      <c r="D17" s="5" t="s">
        <v>52</v>
      </c>
      <c r="E17">
        <v>42</v>
      </c>
      <c r="P17" s="11">
        <v>44835</v>
      </c>
      <c r="Q17">
        <v>6.58</v>
      </c>
    </row>
    <row r="18" spans="1:17">
      <c r="A18" s="5" t="s">
        <v>30</v>
      </c>
      <c r="B18" s="7">
        <v>0.39285714285714285</v>
      </c>
      <c r="D18" s="5" t="s">
        <v>26</v>
      </c>
      <c r="E18">
        <v>51</v>
      </c>
      <c r="P18" s="11">
        <v>44866</v>
      </c>
      <c r="Q18">
        <v>5.75</v>
      </c>
    </row>
    <row r="19" spans="1:17">
      <c r="A19" s="5" t="s">
        <v>954</v>
      </c>
      <c r="B19" s="7">
        <v>0.52166666666666661</v>
      </c>
      <c r="D19" s="5" t="s">
        <v>58</v>
      </c>
      <c r="E19">
        <v>38</v>
      </c>
      <c r="P19" s="11">
        <v>44896</v>
      </c>
      <c r="Q19">
        <v>2.11</v>
      </c>
    </row>
    <row r="20" spans="1:17">
      <c r="D20" s="5" t="s">
        <v>954</v>
      </c>
      <c r="E20">
        <v>313</v>
      </c>
      <c r="P20" s="11">
        <v>44927</v>
      </c>
      <c r="Q20">
        <v>3.74</v>
      </c>
    </row>
    <row r="21" spans="1:17">
      <c r="P21" s="11">
        <v>44958</v>
      </c>
      <c r="Q21">
        <v>2.61</v>
      </c>
    </row>
    <row r="22" spans="1:17">
      <c r="A22" s="4" t="s">
        <v>10</v>
      </c>
      <c r="B22" t="s">
        <v>27</v>
      </c>
      <c r="P22" s="11">
        <v>44986</v>
      </c>
      <c r="Q22">
        <v>1.63</v>
      </c>
    </row>
    <row r="23" spans="1:17">
      <c r="A23" s="4" t="s">
        <v>940</v>
      </c>
      <c r="B23" t="s">
        <v>957</v>
      </c>
      <c r="P23" s="11">
        <v>45017</v>
      </c>
      <c r="Q23">
        <v>6.4</v>
      </c>
    </row>
    <row r="24" spans="1:17">
      <c r="P24" s="11">
        <v>45047</v>
      </c>
      <c r="Q24">
        <v>3.01</v>
      </c>
    </row>
    <row r="25" spans="1:17">
      <c r="A25" s="4" t="s">
        <v>953</v>
      </c>
      <c r="B25" t="s">
        <v>960</v>
      </c>
      <c r="C25" t="s">
        <v>961</v>
      </c>
      <c r="E25" s="4" t="s">
        <v>953</v>
      </c>
      <c r="F25" t="s">
        <v>962</v>
      </c>
      <c r="P25" s="11">
        <v>45078</v>
      </c>
      <c r="Q25">
        <v>7.14</v>
      </c>
    </row>
    <row r="26" spans="1:17">
      <c r="A26" s="5" t="s">
        <v>39</v>
      </c>
      <c r="B26">
        <v>32</v>
      </c>
      <c r="C26" s="2">
        <v>35119</v>
      </c>
      <c r="E26" s="11">
        <v>44562</v>
      </c>
      <c r="F26">
        <v>0</v>
      </c>
      <c r="P26" s="11">
        <v>45108</v>
      </c>
      <c r="Q26">
        <v>4.83</v>
      </c>
    </row>
    <row r="27" spans="1:17">
      <c r="A27" s="5" t="s">
        <v>87</v>
      </c>
      <c r="B27">
        <v>12</v>
      </c>
      <c r="C27" s="2">
        <v>31344</v>
      </c>
      <c r="E27" s="11">
        <v>44593</v>
      </c>
      <c r="F27">
        <v>7333.07</v>
      </c>
      <c r="P27" s="11">
        <v>45139</v>
      </c>
      <c r="Q27">
        <v>4.46</v>
      </c>
    </row>
    <row r="28" spans="1:17">
      <c r="A28" s="5" t="s">
        <v>18</v>
      </c>
      <c r="B28">
        <v>30</v>
      </c>
      <c r="C28" s="2">
        <v>11270</v>
      </c>
      <c r="E28" s="11">
        <v>44621</v>
      </c>
      <c r="F28">
        <v>12301.16</v>
      </c>
      <c r="P28" s="11">
        <v>45170</v>
      </c>
      <c r="Q28">
        <v>4.38</v>
      </c>
    </row>
    <row r="29" spans="1:17">
      <c r="A29" s="5" t="s">
        <v>33</v>
      </c>
      <c r="B29">
        <v>19</v>
      </c>
      <c r="C29" s="2">
        <v>4506</v>
      </c>
      <c r="E29" s="11">
        <v>44652</v>
      </c>
      <c r="F29">
        <v>24798.76</v>
      </c>
      <c r="P29" s="11">
        <v>45200</v>
      </c>
      <c r="Q29">
        <v>2.94</v>
      </c>
    </row>
    <row r="30" spans="1:17">
      <c r="A30" s="5" t="s">
        <v>954</v>
      </c>
      <c r="B30">
        <v>93</v>
      </c>
      <c r="C30" s="2">
        <v>82239</v>
      </c>
      <c r="E30" s="11">
        <v>44682</v>
      </c>
      <c r="F30">
        <v>29091.88</v>
      </c>
      <c r="P30" s="11">
        <v>45231</v>
      </c>
      <c r="Q30">
        <v>4.42</v>
      </c>
    </row>
    <row r="31" spans="1:17">
      <c r="E31" s="11">
        <v>44713</v>
      </c>
      <c r="F31">
        <v>38919.93</v>
      </c>
      <c r="P31" s="11">
        <v>45261</v>
      </c>
      <c r="Q31">
        <v>3.83</v>
      </c>
    </row>
    <row r="32" spans="1:17">
      <c r="E32" s="11">
        <v>44743</v>
      </c>
      <c r="F32">
        <v>45097.72</v>
      </c>
      <c r="P32" s="11">
        <v>45292</v>
      </c>
      <c r="Q32">
        <v>3.76</v>
      </c>
    </row>
    <row r="33" spans="5:17">
      <c r="E33" s="11">
        <v>44774</v>
      </c>
      <c r="F33">
        <v>54140.41</v>
      </c>
      <c r="P33" s="11">
        <v>45323</v>
      </c>
      <c r="Q33">
        <v>4.26</v>
      </c>
    </row>
    <row r="34" spans="5:17">
      <c r="E34" s="11">
        <v>44805</v>
      </c>
      <c r="F34">
        <v>65198</v>
      </c>
      <c r="P34" s="11">
        <v>45352</v>
      </c>
      <c r="Q34">
        <v>2.12</v>
      </c>
    </row>
    <row r="35" spans="5:17">
      <c r="E35" s="11">
        <v>44835</v>
      </c>
      <c r="F35">
        <v>86824.16</v>
      </c>
      <c r="P35" s="11">
        <v>45383</v>
      </c>
      <c r="Q35">
        <v>3.94</v>
      </c>
    </row>
    <row r="36" spans="5:17">
      <c r="E36" s="11">
        <v>44866</v>
      </c>
      <c r="F36">
        <v>93168.11</v>
      </c>
      <c r="P36" s="11">
        <v>45413</v>
      </c>
      <c r="Q36">
        <v>3.88</v>
      </c>
    </row>
    <row r="37" spans="5:17">
      <c r="E37" s="11">
        <v>44896</v>
      </c>
      <c r="F37">
        <v>96100.66</v>
      </c>
      <c r="P37" s="11">
        <v>45444</v>
      </c>
      <c r="Q37">
        <v>4.2300000000000004</v>
      </c>
    </row>
    <row r="38" spans="5:17">
      <c r="E38" s="11">
        <v>44927</v>
      </c>
      <c r="F38">
        <v>104773.35</v>
      </c>
      <c r="P38" s="11">
        <v>45474</v>
      </c>
      <c r="Q38">
        <v>3.7</v>
      </c>
    </row>
    <row r="39" spans="5:17">
      <c r="E39" s="11">
        <v>44958</v>
      </c>
      <c r="F39">
        <v>115539.13</v>
      </c>
      <c r="P39" s="11">
        <v>45505</v>
      </c>
      <c r="Q39">
        <v>3.14</v>
      </c>
    </row>
    <row r="40" spans="5:17">
      <c r="E40" s="11">
        <v>44986</v>
      </c>
      <c r="F40">
        <v>125258.61</v>
      </c>
      <c r="P40" s="11">
        <v>45536</v>
      </c>
      <c r="Q40">
        <v>3.1</v>
      </c>
    </row>
    <row r="41" spans="5:17">
      <c r="E41" s="11">
        <v>45017</v>
      </c>
      <c r="F41">
        <v>129471.28</v>
      </c>
      <c r="P41" s="11">
        <v>45566</v>
      </c>
      <c r="Q41">
        <v>3</v>
      </c>
    </row>
    <row r="42" spans="5:17">
      <c r="E42" s="11">
        <v>45047</v>
      </c>
      <c r="F42">
        <v>142401.69</v>
      </c>
      <c r="P42" s="11">
        <v>45597</v>
      </c>
      <c r="Q42">
        <v>3.78</v>
      </c>
    </row>
    <row r="43" spans="5:17">
      <c r="E43" s="11">
        <v>45078</v>
      </c>
      <c r="F43">
        <v>142966.32</v>
      </c>
      <c r="P43" s="11">
        <v>45627</v>
      </c>
      <c r="Q43">
        <v>3.75</v>
      </c>
    </row>
    <row r="44" spans="5:17">
      <c r="E44" s="11">
        <v>45108</v>
      </c>
      <c r="F44">
        <v>147630.35999999999</v>
      </c>
      <c r="P44" s="11">
        <v>45658</v>
      </c>
      <c r="Q44">
        <v>3.64</v>
      </c>
    </row>
    <row r="45" spans="5:17">
      <c r="E45" s="11">
        <v>45139</v>
      </c>
      <c r="F45">
        <v>158920.70000000001</v>
      </c>
      <c r="P45" s="11">
        <v>45689</v>
      </c>
      <c r="Q45">
        <v>3.19</v>
      </c>
    </row>
    <row r="46" spans="5:17">
      <c r="E46" s="11">
        <v>45170</v>
      </c>
      <c r="F46">
        <v>162830.01999999999</v>
      </c>
      <c r="P46" s="11">
        <v>45717</v>
      </c>
      <c r="Q46">
        <v>2.72</v>
      </c>
    </row>
    <row r="47" spans="5:17">
      <c r="E47" s="11">
        <v>45200</v>
      </c>
      <c r="F47">
        <v>170763.72</v>
      </c>
      <c r="P47" s="11">
        <v>45748</v>
      </c>
      <c r="Q47">
        <v>6.3</v>
      </c>
    </row>
    <row r="48" spans="5:17">
      <c r="E48" s="11">
        <v>45231</v>
      </c>
      <c r="F48">
        <v>184058.29</v>
      </c>
      <c r="P48" s="11">
        <v>45778</v>
      </c>
      <c r="Q48">
        <v>5.68</v>
      </c>
    </row>
    <row r="49" spans="5:17">
      <c r="E49" s="11">
        <v>45261</v>
      </c>
      <c r="F49">
        <v>189579.35</v>
      </c>
      <c r="P49" s="11">
        <v>45809</v>
      </c>
      <c r="Q49">
        <v>4.21</v>
      </c>
    </row>
    <row r="50" spans="5:17">
      <c r="E50" s="11">
        <v>45292</v>
      </c>
      <c r="F50">
        <v>191783.54</v>
      </c>
      <c r="P50" s="11">
        <v>45839</v>
      </c>
      <c r="Q50">
        <v>3.4</v>
      </c>
    </row>
    <row r="51" spans="5:17">
      <c r="E51" s="11">
        <v>45323</v>
      </c>
      <c r="F51">
        <v>192379.41</v>
      </c>
      <c r="P51" s="11">
        <v>45870</v>
      </c>
      <c r="Q51">
        <v>2.64</v>
      </c>
    </row>
    <row r="52" spans="5:17">
      <c r="E52" s="11">
        <v>45352</v>
      </c>
      <c r="F52">
        <v>196219.33</v>
      </c>
      <c r="P52" s="11">
        <v>45901</v>
      </c>
      <c r="Q52">
        <v>3.4</v>
      </c>
    </row>
    <row r="53" spans="5:17">
      <c r="E53" s="11">
        <v>45383</v>
      </c>
      <c r="F53">
        <v>200076.61</v>
      </c>
      <c r="P53" s="11">
        <v>45931</v>
      </c>
      <c r="Q53">
        <v>3.35</v>
      </c>
    </row>
    <row r="54" spans="5:17">
      <c r="E54" s="11">
        <v>45413</v>
      </c>
      <c r="F54">
        <v>217117.58</v>
      </c>
      <c r="P54" s="11">
        <v>45962</v>
      </c>
      <c r="Q54">
        <v>3.24</v>
      </c>
    </row>
    <row r="55" spans="5:17">
      <c r="E55" s="11">
        <v>45444</v>
      </c>
      <c r="F55">
        <v>215810.52</v>
      </c>
      <c r="P55" s="11">
        <v>45992</v>
      </c>
      <c r="Q55">
        <v>1.42</v>
      </c>
    </row>
    <row r="56" spans="5:17">
      <c r="E56" s="11">
        <v>45474</v>
      </c>
      <c r="F56">
        <v>222303.35999999999</v>
      </c>
      <c r="P56" s="11" t="s">
        <v>954</v>
      </c>
      <c r="Q56">
        <v>216.90999999999994</v>
      </c>
    </row>
    <row r="57" spans="5:17">
      <c r="E57" s="11">
        <v>45505</v>
      </c>
      <c r="F57">
        <v>242222.62</v>
      </c>
    </row>
    <row r="58" spans="5:17">
      <c r="E58" s="11">
        <v>45536</v>
      </c>
      <c r="F58">
        <v>234749.84</v>
      </c>
    </row>
    <row r="59" spans="5:17">
      <c r="E59" s="11">
        <v>45566</v>
      </c>
      <c r="F59">
        <v>239344.73</v>
      </c>
    </row>
    <row r="60" spans="5:17">
      <c r="E60" s="11">
        <v>45597</v>
      </c>
      <c r="F60">
        <v>253489.47</v>
      </c>
    </row>
    <row r="61" spans="5:17">
      <c r="E61" s="11">
        <v>45627</v>
      </c>
      <c r="F61">
        <v>260856.24</v>
      </c>
    </row>
    <row r="62" spans="5:17">
      <c r="E62" s="11">
        <v>45658</v>
      </c>
      <c r="F62">
        <v>266142.93</v>
      </c>
    </row>
    <row r="63" spans="5:17">
      <c r="E63" s="11">
        <v>45689</v>
      </c>
      <c r="F63">
        <v>274162.53999999998</v>
      </c>
    </row>
    <row r="64" spans="5:17">
      <c r="E64" s="11">
        <v>45717</v>
      </c>
      <c r="F64">
        <v>280928.08</v>
      </c>
    </row>
    <row r="65" spans="5:6">
      <c r="E65" s="11">
        <v>45748</v>
      </c>
      <c r="F65">
        <v>287791.15000000002</v>
      </c>
    </row>
    <row r="66" spans="5:6">
      <c r="E66" s="11">
        <v>45778</v>
      </c>
      <c r="F66">
        <v>287207.82</v>
      </c>
    </row>
    <row r="67" spans="5:6">
      <c r="E67" s="11">
        <v>45809</v>
      </c>
      <c r="F67">
        <v>280683.13</v>
      </c>
    </row>
    <row r="68" spans="5:6">
      <c r="E68" s="11">
        <v>45839</v>
      </c>
      <c r="F68">
        <v>287661.73</v>
      </c>
    </row>
    <row r="69" spans="5:6">
      <c r="E69" s="11">
        <v>45870</v>
      </c>
      <c r="F69">
        <v>287743</v>
      </c>
    </row>
    <row r="70" spans="5:6">
      <c r="E70" s="11">
        <v>45901</v>
      </c>
      <c r="F70">
        <v>290824.44</v>
      </c>
    </row>
    <row r="71" spans="5:6">
      <c r="E71" s="11">
        <v>45931</v>
      </c>
      <c r="F71">
        <v>280089.15000000002</v>
      </c>
    </row>
    <row r="72" spans="5:6">
      <c r="E72" s="11">
        <v>45962</v>
      </c>
      <c r="F72">
        <v>285261.36</v>
      </c>
    </row>
    <row r="73" spans="5:6">
      <c r="E73" s="11">
        <v>45992</v>
      </c>
      <c r="F73">
        <v>292628.61</v>
      </c>
    </row>
    <row r="74" spans="5:6">
      <c r="E74" s="11" t="s">
        <v>954</v>
      </c>
      <c r="F74">
        <v>8394643.870000001</v>
      </c>
    </row>
  </sheetData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3638-AA5A-4290-85FD-08E9FFF938C6}">
  <sheetPr>
    <pageSetUpPr fitToPage="1"/>
  </sheetPr>
  <dimension ref="A1:N50"/>
  <sheetViews>
    <sheetView showGridLines="0" zoomScale="51" zoomScaleNormal="100" workbookViewId="0">
      <selection activeCell="W40" sqref="W40"/>
    </sheetView>
  </sheetViews>
  <sheetFormatPr defaultRowHeight="14.25"/>
  <sheetData>
    <row r="1" spans="1:14" ht="26.65">
      <c r="A1" s="43" t="s">
        <v>963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15.75">
      <c r="A2" s="44" t="s">
        <v>964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>
      <c r="A3" s="31" t="s">
        <v>965</v>
      </c>
      <c r="B3" s="31"/>
      <c r="C3" s="31"/>
      <c r="D3" s="25" t="s">
        <v>966</v>
      </c>
      <c r="E3" s="34"/>
      <c r="F3" s="26"/>
      <c r="G3" s="34" t="s">
        <v>967</v>
      </c>
      <c r="H3" s="34"/>
      <c r="I3" s="34"/>
      <c r="J3" s="23" t="s">
        <v>968</v>
      </c>
      <c r="K3" s="41"/>
      <c r="L3" s="41"/>
      <c r="M3" s="23" t="s">
        <v>969</v>
      </c>
      <c r="N3" s="24"/>
    </row>
    <row r="4" spans="1:14">
      <c r="A4" s="32"/>
      <c r="B4" s="32"/>
      <c r="C4" s="32"/>
      <c r="D4" s="25"/>
      <c r="E4" s="34"/>
      <c r="F4" s="26"/>
      <c r="G4" s="34"/>
      <c r="H4" s="34"/>
      <c r="I4" s="34"/>
      <c r="J4" s="25"/>
      <c r="K4" s="34"/>
      <c r="L4" s="34"/>
      <c r="M4" s="25"/>
      <c r="N4" s="26"/>
    </row>
    <row r="5" spans="1:14">
      <c r="A5" s="33">
        <f>AVERAGE(tblSubscriptions[Churn_Flag])</f>
        <v>0.52166666666666661</v>
      </c>
      <c r="B5" s="33"/>
      <c r="C5" s="33"/>
      <c r="D5" s="17" cm="1">
        <f t="array" ref="D5">LOOKUP(2,1/(tblMonthlyRevenue[total_mrr]&lt;&gt;""),tblMonthlyRevenue[total_mrr])</f>
        <v>292628.61</v>
      </c>
      <c r="E5" s="18"/>
      <c r="F5" s="19"/>
      <c r="G5" s="35">
        <f>COUNTIFS(
tblSubscriptions[churned],"No",
tblSubscriptions[Risk_Level],"High Risk"
)</f>
        <v>93</v>
      </c>
      <c r="H5" s="36"/>
      <c r="I5" s="37"/>
      <c r="J5" s="17">
        <f>SUMIFS(
tblSubscriptions[monthly_revenue],
tblSubscriptions[churned],"No",
tblSubscriptions[Risk_Level],"High Risk"
)</f>
        <v>82239</v>
      </c>
      <c r="K5" s="18"/>
      <c r="L5" s="19"/>
      <c r="M5" s="27">
        <f>AVERAGE(tblMonthlyRevenue[customer_acquisition_cost])</f>
        <v>200.04062499999998</v>
      </c>
      <c r="N5" s="28"/>
    </row>
    <row r="6" spans="1:14">
      <c r="A6" s="33"/>
      <c r="B6" s="33"/>
      <c r="C6" s="33"/>
      <c r="D6" s="20"/>
      <c r="E6" s="21"/>
      <c r="F6" s="22"/>
      <c r="G6" s="38"/>
      <c r="H6" s="39"/>
      <c r="I6" s="40"/>
      <c r="J6" s="20"/>
      <c r="K6" s="21"/>
      <c r="L6" s="22"/>
      <c r="M6" s="29"/>
      <c r="N6" s="30"/>
    </row>
    <row r="7" spans="1:14">
      <c r="A7" s="12"/>
    </row>
    <row r="37" spans="1:14" ht="18">
      <c r="A37" s="16" t="s">
        <v>971</v>
      </c>
      <c r="B37" s="16"/>
      <c r="C37" s="16"/>
      <c r="D37" s="16"/>
      <c r="E37" s="16"/>
      <c r="F37" s="16"/>
      <c r="G37" s="16"/>
      <c r="H37" s="13" t="s">
        <v>972</v>
      </c>
      <c r="I37" s="13"/>
      <c r="J37" s="13"/>
      <c r="K37" s="13"/>
      <c r="L37" s="13"/>
      <c r="M37" s="13"/>
      <c r="N37" s="13"/>
    </row>
    <row r="38" spans="1:14" ht="14.25" customHeight="1">
      <c r="A38" s="14" t="s">
        <v>974</v>
      </c>
      <c r="B38" s="14"/>
      <c r="C38" s="14"/>
      <c r="D38" s="14"/>
      <c r="E38" s="14"/>
      <c r="F38" s="14"/>
      <c r="G38" s="14"/>
      <c r="H38" s="14" t="s">
        <v>973</v>
      </c>
      <c r="I38" s="15"/>
      <c r="J38" s="15"/>
      <c r="K38" s="15"/>
      <c r="L38" s="15"/>
      <c r="M38" s="15"/>
      <c r="N38" s="15"/>
    </row>
    <row r="39" spans="1:14">
      <c r="A39" s="14"/>
      <c r="B39" s="14"/>
      <c r="C39" s="14"/>
      <c r="D39" s="14"/>
      <c r="E39" s="14"/>
      <c r="F39" s="14"/>
      <c r="G39" s="14"/>
      <c r="H39" s="15"/>
      <c r="I39" s="15"/>
      <c r="J39" s="15"/>
      <c r="K39" s="15"/>
      <c r="L39" s="15"/>
      <c r="M39" s="15"/>
      <c r="N39" s="15"/>
    </row>
    <row r="40" spans="1:14">
      <c r="A40" s="14"/>
      <c r="B40" s="14"/>
      <c r="C40" s="14"/>
      <c r="D40" s="14"/>
      <c r="E40" s="14"/>
      <c r="F40" s="14"/>
      <c r="G40" s="14"/>
      <c r="H40" s="15"/>
      <c r="I40" s="15"/>
      <c r="J40" s="15"/>
      <c r="K40" s="15"/>
      <c r="L40" s="15"/>
      <c r="M40" s="15"/>
      <c r="N40" s="15"/>
    </row>
    <row r="41" spans="1:14">
      <c r="A41" s="14"/>
      <c r="B41" s="14"/>
      <c r="C41" s="14"/>
      <c r="D41" s="14"/>
      <c r="E41" s="14"/>
      <c r="F41" s="14"/>
      <c r="G41" s="14"/>
      <c r="H41" s="15"/>
      <c r="I41" s="15"/>
      <c r="J41" s="15"/>
      <c r="K41" s="15"/>
      <c r="L41" s="15"/>
      <c r="M41" s="15"/>
      <c r="N41" s="15"/>
    </row>
    <row r="42" spans="1:14">
      <c r="A42" s="14"/>
      <c r="B42" s="14"/>
      <c r="C42" s="14"/>
      <c r="D42" s="14"/>
      <c r="E42" s="14"/>
      <c r="F42" s="14"/>
      <c r="G42" s="14"/>
      <c r="H42" s="15"/>
      <c r="I42" s="15"/>
      <c r="J42" s="15"/>
      <c r="K42" s="15"/>
      <c r="L42" s="15"/>
      <c r="M42" s="15"/>
      <c r="N42" s="15"/>
    </row>
    <row r="43" spans="1:14">
      <c r="A43" s="14"/>
      <c r="B43" s="14"/>
      <c r="C43" s="14"/>
      <c r="D43" s="14"/>
      <c r="E43" s="14"/>
      <c r="F43" s="14"/>
      <c r="G43" s="14"/>
      <c r="H43" s="15"/>
      <c r="I43" s="15"/>
      <c r="J43" s="15"/>
      <c r="K43" s="15"/>
      <c r="L43" s="15"/>
      <c r="M43" s="15"/>
      <c r="N43" s="15"/>
    </row>
    <row r="44" spans="1:14">
      <c r="A44" s="14"/>
      <c r="B44" s="14"/>
      <c r="C44" s="14"/>
      <c r="D44" s="14"/>
      <c r="E44" s="14"/>
      <c r="F44" s="14"/>
      <c r="G44" s="14"/>
      <c r="H44" s="15"/>
      <c r="I44" s="15"/>
      <c r="J44" s="15"/>
      <c r="K44" s="15"/>
      <c r="L44" s="15"/>
      <c r="M44" s="15"/>
      <c r="N44" s="15"/>
    </row>
    <row r="45" spans="1:14">
      <c r="A45" s="14"/>
      <c r="B45" s="14"/>
      <c r="C45" s="14"/>
      <c r="D45" s="14"/>
      <c r="E45" s="14"/>
      <c r="F45" s="14"/>
      <c r="G45" s="14"/>
      <c r="H45" s="15"/>
      <c r="I45" s="15"/>
      <c r="J45" s="15"/>
      <c r="K45" s="15"/>
      <c r="L45" s="15"/>
      <c r="M45" s="15"/>
      <c r="N45" s="15"/>
    </row>
    <row r="46" spans="1:14">
      <c r="A46" s="14"/>
      <c r="B46" s="14"/>
      <c r="C46" s="14"/>
      <c r="D46" s="14"/>
      <c r="E46" s="14"/>
      <c r="F46" s="14"/>
      <c r="G46" s="14"/>
      <c r="H46" s="15"/>
      <c r="I46" s="15"/>
      <c r="J46" s="15"/>
      <c r="K46" s="15"/>
      <c r="L46" s="15"/>
      <c r="M46" s="15"/>
      <c r="N46" s="15"/>
    </row>
    <row r="47" spans="1:14">
      <c r="A47" s="14"/>
      <c r="B47" s="14"/>
      <c r="C47" s="14"/>
      <c r="D47" s="14"/>
      <c r="E47" s="14"/>
      <c r="F47" s="14"/>
      <c r="G47" s="14"/>
      <c r="H47" s="15"/>
      <c r="I47" s="15"/>
      <c r="J47" s="15"/>
      <c r="K47" s="15"/>
      <c r="L47" s="15"/>
      <c r="M47" s="15"/>
      <c r="N47" s="15"/>
    </row>
    <row r="48" spans="1:14">
      <c r="A48" s="14"/>
      <c r="B48" s="14"/>
      <c r="C48" s="14"/>
      <c r="D48" s="14"/>
      <c r="E48" s="14"/>
      <c r="F48" s="14"/>
      <c r="G48" s="14"/>
      <c r="H48" s="15"/>
      <c r="I48" s="15"/>
      <c r="J48" s="15"/>
      <c r="K48" s="15"/>
      <c r="L48" s="15"/>
      <c r="M48" s="15"/>
      <c r="N48" s="15"/>
    </row>
    <row r="49" spans="1:14">
      <c r="A49" s="14"/>
      <c r="B49" s="14"/>
      <c r="C49" s="14"/>
      <c r="D49" s="14"/>
      <c r="E49" s="14"/>
      <c r="F49" s="14"/>
      <c r="G49" s="14"/>
      <c r="H49" s="15"/>
      <c r="I49" s="15"/>
      <c r="J49" s="15"/>
      <c r="K49" s="15"/>
      <c r="L49" s="15"/>
      <c r="M49" s="15"/>
      <c r="N49" s="15"/>
    </row>
    <row r="50" spans="1:14" ht="18">
      <c r="A50" s="42" t="s">
        <v>975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</row>
  </sheetData>
  <mergeCells count="17">
    <mergeCell ref="J5:L6"/>
    <mergeCell ref="M3:N4"/>
    <mergeCell ref="M5:N6"/>
    <mergeCell ref="A1:N1"/>
    <mergeCell ref="A2:N2"/>
    <mergeCell ref="A3:C4"/>
    <mergeCell ref="A5:C6"/>
    <mergeCell ref="D3:F4"/>
    <mergeCell ref="D5:F6"/>
    <mergeCell ref="G3:I4"/>
    <mergeCell ref="G5:I6"/>
    <mergeCell ref="J3:L4"/>
    <mergeCell ref="H37:N37"/>
    <mergeCell ref="H38:N49"/>
    <mergeCell ref="A38:G49"/>
    <mergeCell ref="A50:N50"/>
    <mergeCell ref="A37:G37"/>
  </mergeCells>
  <printOptions horizontalCentered="1" verticalCentered="1"/>
  <pageMargins left="0.25" right="0.25" top="0.75" bottom="0.75" header="0.3" footer="0.3"/>
  <pageSetup paperSize="9" scale="7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6EA707-FD03-4A6A-B126-07463B3F12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Subscription_Data</vt:lpstr>
      <vt:lpstr>Monthly_Revenue</vt:lpstr>
      <vt:lpstr>Pivot_Analysis</vt:lpstr>
      <vt:lpstr>Executive_Summary</vt:lpstr>
      <vt:lpstr>Executive_Summary!Print_Area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Mayeed, Mayeed M (UG - Comp Sci &amp; Elec Eng)</dc:creator>
  <cp:lastModifiedBy>Mayeed, Mayeed M (UG - Comp Sci &amp; Elec Eng)</cp:lastModifiedBy>
  <cp:lastPrinted>2026-10-14T12:37:37Z</cp:lastPrinted>
  <dcterms:created xsi:type="dcterms:W3CDTF">2026-10-11T15:05:42Z</dcterms:created>
  <dcterms:modified xsi:type="dcterms:W3CDTF">2026-10-14T12:38:38Z</dcterms:modified>
</cp:coreProperties>
</file>